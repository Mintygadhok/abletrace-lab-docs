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T 1 THE RULE" sheetId="2" state="visible" r:id="rId4"/>
    <sheet name="PART 2 THE MAP" sheetId="3" state="visible" r:id="rId5"/>
    <sheet name="PART 3 SCOREBOARD" sheetId="4" state="visible" r:id="rId6"/>
    <sheet name="PART 4 PROOF" sheetId="5" state="visible" r:id="rId7"/>
  </sheets>
  <definedNames>
    <definedName function="false" hidden="true" localSheetId="2" name="_xlnm._FilterDatabase" vbProcedure="false">'PART 2 THE MAP'!$A$4:$F$52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<sst xmlns="http://schemas.openxmlformats.org/spreadsheetml/2006/main" count="324" uniqueCount="251">
  <si>
    <t xml:space="preserve">UNITS BIBLE</t>
  </si>
  <si>
    <t xml:space="preserve">The four sources of every unit figure in AbleTrace, and the state of every site that produces one.</t>
  </si>
  <si>
    <t xml:space="preserve">AUTHOR</t>
  </si>
  <si>
    <t xml:space="preserve">Minty. The rules in PART 1 are his rulings.</t>
  </si>
  <si>
    <t xml:space="preserve">CHANGES</t>
  </si>
  <si>
    <t xml:space="preserve">PART 1 IS CHANGED ONLY ON MINTY'S EXPRESS INSTRUCTION. Claude may READ and PROPOSE. CLAUDE NEVER EDITS PART 1.</t>
  </si>
  <si>
    <t xml:space="preserve">PART 2</t>
  </si>
  <si>
    <t xml:space="preserve">The working record. Status changes as sites are fixed. That is the document doing its job, not an edit to it.</t>
  </si>
  <si>
    <t xml:space="preserve">TWIN</t>
  </si>
  <si>
    <t xml:space="preserve">UNITS-BIBLE.txt is the record git can diff. IF THE TWO DISAGREE, THE TXT IS THE RECORD.</t>
  </si>
  <si>
    <t xml:space="preserve">CREATED</t>
  </si>
  <si>
    <t xml:space="preserve">S108, 7 August 2026</t>
  </si>
  <si>
    <t xml:space="preserve">THIS COPY</t>
  </si>
  <si>
    <t xml:space="preserve">Rebuilt S110, 9 August 2026, FROM THE TXT. The prior .xlsx was not in hand.</t>
  </si>
  <si>
    <t xml:space="preserve">CHANGE LOG</t>
  </si>
  <si>
    <t xml:space="preserve">S108</t>
  </si>
  <si>
    <t xml:space="preserve">Created. Four sources ruled by Minty. 47 sites mapped.</t>
  </si>
  <si>
    <t xml:space="preserve">S109</t>
  </si>
  <si>
    <t xml:space="preserve">PART 2 statuses moved for the first time. Nine rows XX to OK. Three were ALREADY green and the survey had them wrong. Row 48 added. 28 green.</t>
  </si>
  <si>
    <t xml:space="preserve">S110</t>
  </si>
  <si>
    <t xml:space="preserve">Rows 31 and 35 to OK, proven on BOTH boxes. Rows 32, 34 and 36 PART - the rounding half is fixed, the basis half is not. See PART 3.</t>
  </si>
  <si>
    <t xml:space="preserve">PART 1 - THE RULE.  MINTY'S RULINGS. DO NOT EDIT.</t>
  </si>
  <si>
    <t xml:space="preserve">EVERY UNIT FIGURE ON EVERY SCREEN COMES FROM ONE OF FOUR PLACES.</t>
  </si>
  <si>
    <t xml:space="preserve">SOURCE</t>
  </si>
  <si>
    <t xml:space="preserve">NAME</t>
  </si>
  <si>
    <t xml:space="preserve">THE SUM</t>
  </si>
  <si>
    <t xml:space="preserve">WARNINGS</t>
  </si>
  <si>
    <t xml:space="preserve">LIVES IN</t>
  </si>
  <si>
    <t xml:space="preserve">1 - ING-REQ</t>
  </si>
  <si>
    <t xml:space="preserve">THE RECIPE REQUIREMENT</t>
  </si>
  <si>
    <t xml:space="preserve">quantity per batch x (MO shipping units / shipping units per batch). Worked out fresh every time.</t>
  </si>
  <si>
    <t xml:space="preserve">NEVER use the stored batches number - that is this same sum, already rounded. Quantity per batch takes the basis of the thing consumed: UNITS for an intermediate, Kg for an ingredient.</t>
  </si>
  <si>
    <t xml:space="preserve">subrecipematerials.qty (ingredients, Kg per batch) / subrecipeformulation.ship_qty (intermediates, units per batch)</t>
  </si>
  <si>
    <t xml:space="preserve">2 - PK-CASCADE</t>
  </si>
  <si>
    <t xml:space="preserve">THE PACKAGING FIGURES</t>
  </si>
  <si>
    <t xml:space="preserve">MO shipping units x the pack ratio at each level.</t>
  </si>
  <si>
    <t xml:space="preserve">Level 1 is the single unit and carries the unit weight - THE ONE PLACE A UNIT WEIGHT IS HELD ANYWHERE. batches plays NO part, so a fractional packaging figure is a defect, not rounding.</t>
  </si>
  <si>
    <t xml:space="preserve">fopackaging.quantity / pack_level / whd_flag / wgt_kgs_per_unit</t>
  </si>
  <si>
    <t xml:space="preserve">3 - STOCK ON HAND</t>
  </si>
  <si>
    <t xml:space="preserve">THE WAREHOUSE BALANCE</t>
  </si>
  <si>
    <t xml:space="preserve">Two balances, kept separately. Products and intermediates in units; materials in Kg.</t>
  </si>
  <si>
    <t xml:space="preserve">STOCK MOVES ONLY AT THE DO, IN BOTH DIRECTIONS. Once allocated it is spoken for and a planner must not count it as available.</t>
  </si>
  <si>
    <t xml:space="preserve">formulations.inventory_units (units) / materials.inventory (Kg)</t>
  </si>
  <si>
    <t xml:space="preserve">4 - PRD-TO-DATE</t>
  </si>
  <si>
    <t xml:space="preserve">PRODUCTION TO DATE</t>
  </si>
  <si>
    <t xml:space="preserve">The completed quantity for an MO - the sum of received lots, in shipping units.</t>
  </si>
  <si>
    <t xml:space="preserve">mlomanagement.received_units IS THE MO TOTAL. receiveproducts.qty IS ONE RECEIPT. NOT INTERCHANGEABLE - a per-receipt row must show its own count.</t>
  </si>
  <si>
    <t xml:space="preserve">mlomanagement.received_units / receiveproducts.qty</t>
  </si>
  <si>
    <t xml:space="preserve">THE TEST</t>
  </si>
  <si>
    <t xml:space="preserve">Point at any unit number on any screen and say which of the four it came from. If the answer is 'we divided a weight', THAT IS THE BUG.</t>
  </si>
  <si>
    <t xml:space="preserve">WEIGHT IS ALWAYS WORKED OUT FROM UNITS.  UNITS ARE NEVER WORKED OUT FROM WEIGHT.</t>
  </si>
  <si>
    <t xml:space="preserve">DISPLAY</t>
  </si>
  <si>
    <t xml:space="preserve">Three decimal places. ROUND FOR DISPLAY ONLY - full precision in the calculation and in the database.</t>
  </si>
  <si>
    <t xml:space="preserve">PART 2 - THE MAP.  Working record. Status changes as sites are fixed.</t>
  </si>
  <si>
    <t xml:space="preserve">OK = reads a stored count, follows the rule   |   XX = calculates instead   |   ?? = to review, not a defect   |   PART = partly fixed, see NOTE</t>
  </si>
  <si>
    <t xml:space="preserve">ROW</t>
  </si>
  <si>
    <t xml:space="preserve">STATUS</t>
  </si>
  <si>
    <t xml:space="preserve">STEP</t>
  </si>
  <si>
    <t xml:space="preserve">SITE</t>
  </si>
  <si>
    <t xml:space="preserve">ADDRESS</t>
  </si>
  <si>
    <t xml:space="preserve">NOTE</t>
  </si>
  <si>
    <t xml:space="preserve">OK</t>
  </si>
  <si>
    <t xml:space="preserve">Stock info popup - In Store</t>
  </si>
  <si>
    <t xml:space="preserve">stock-info.ts:188</t>
  </si>
  <si>
    <t xml:space="preserve">THE MODEL. COPY IT. inventory_units, x weight for Kg.</t>
  </si>
  <si>
    <t xml:space="preserve">Stock info popup - Produced</t>
  </si>
  <si>
    <t xml:space="preserve">stock-info.html:36</t>
  </si>
  <si>
    <t xml:space="preserve">Stock info popup - DO/PS buckets</t>
  </si>
  <si>
    <t xml:space="preserve">stock-info.ts:79-135</t>
  </si>
  <si>
    <t xml:space="preserve">Stock info popup - progress bar</t>
  </si>
  <si>
    <t xml:space="preserve">stock-info.ts:160,166</t>
  </si>
  <si>
    <t xml:space="preserve">Edit-formulation stock buckets</t>
  </si>
  <si>
    <t xml:space="preserve">formulation-edit-stock-info.ts:143-243</t>
  </si>
  <si>
    <t xml:space="preserve">MO progress chart, 5 screens</t>
  </si>
  <si>
    <t xml:space="preserve">mo-progress-chart.ts:26,33</t>
  </si>
  <si>
    <t xml:space="preserve">Formulation intermediate lines</t>
  </si>
  <si>
    <t xml:space="preserve">edit-formulation.html:187,209,254</t>
  </si>
  <si>
    <t xml:space="preserve">Add formulation intermediate</t>
  </si>
  <si>
    <t xml:space="preserve">add-new-formulation.html:106</t>
  </si>
  <si>
    <t xml:space="preserve">Formulation save / version fork</t>
  </si>
  <si>
    <t xml:space="preserve">edit-formulation.ts:948-1397</t>
  </si>
  <si>
    <t xml:space="preserve">Intermediate qty popup</t>
  </si>
  <si>
    <t xml:space="preserve">edit-quantity-info.ts:31</t>
  </si>
  <si>
    <t xml:space="preserve">Add intermediate popup</t>
  </si>
  <si>
    <t xml:space="preserve">other-formulations.ts:47-110</t>
  </si>
  <si>
    <t xml:space="preserve">Receive product - WRITE</t>
  </si>
  <si>
    <t xml:space="preserve">receive-product.ts:148</t>
  </si>
  <si>
    <t xml:space="preserve">Dispatch orders list - shipped</t>
  </si>
  <si>
    <t xml:space="preserve">dispatch-orders.html:116,117</t>
  </si>
  <si>
    <t xml:space="preserve">Create packing slip rows</t>
  </si>
  <si>
    <t xml:space="preserve">create-packslips.ts:212-270</t>
  </si>
  <si>
    <t xml:space="preserve">Edit packing slip rows</t>
  </si>
  <si>
    <t xml:space="preserve">edit-packslips.ts:279-576</t>
  </si>
  <si>
    <t xml:space="preserve">Traceability one-step-forward</t>
  </si>
  <si>
    <t xml:space="preserve">product-traceability-details:335</t>
  </si>
  <si>
    <t xml:space="preserve">Sales order shipped to date</t>
  </si>
  <si>
    <t xml:space="preserve">edit-sales-order.ts:426,427</t>
  </si>
  <si>
    <t xml:space="preserve">Sales order product popup</t>
  </si>
  <si>
    <t xml:space="preserve">products-for-sales-order.ts:43</t>
  </si>
  <si>
    <t xml:space="preserve">Packaging cascade</t>
  </si>
  <si>
    <t xml:space="preserve">Formulations.js:1195</t>
  </si>
  <si>
    <t xml:space="preserve">Multiplies by mlcDetails.qty, NOT batches. THE CORRECT SHAPE. Untouched S110 and the control held.</t>
  </si>
  <si>
    <t xml:space="preserve">XX</t>
  </si>
  <si>
    <t xml:space="preserve">STEP 6</t>
  </si>
  <si>
    <t xml:space="preserve">Release screen Released Qty</t>
  </si>
  <si>
    <t xml:space="preserve">Formulations.js:1108,1141,1189</t>
  </si>
  <si>
    <t xml:space="preserve">Returns ADDED into the released total. THE SIGN IS INVERTED. LIVE, BOTH CLIENTS. Survey first.</t>
  </si>
  <si>
    <t xml:space="preserve">S109 WAS</t>
  </si>
  <si>
    <t xml:space="preserve">MR product list + details</t>
  </si>
  <si>
    <t xml:space="preserve">rejected-materials.html:63</t>
  </si>
  <si>
    <t xml:space="preserve">Already green. The survey named a DEAD dividing function three files away. AN ADDRESS IS A CLAIM.</t>
  </si>
  <si>
    <t xml:space="preserve">MO detail Completed</t>
  </si>
  <si>
    <t xml:space="preserve">edit-mlc.ts:298</t>
  </si>
  <si>
    <t xml:space="preserve">Proven dev 474 MO-0001 and MO-0003.</t>
  </si>
  <si>
    <t xml:space="preserve">S109 DEP</t>
  </si>
  <si>
    <t xml:space="preserve">edit-mlo.ts:251</t>
  </si>
  <si>
    <t xml:space="preserve">DEPLOYED, NEVER SEEN ON A SCREEN. /MLO-Management redirects under these roles - S109 four attempts, S110 one more. RECORDED UNREACHABLE. Shares the proc with 22 and 24, so risk is LOW - LOW IS NOT PROVEN.</t>
  </si>
  <si>
    <t xml:space="preserve">Start MO Completed</t>
  </si>
  <si>
    <t xml:space="preserve">start-mlc.ts:155</t>
  </si>
  <si>
    <t xml:space="preserve">Proven dev 474 MO-0003.</t>
  </si>
  <si>
    <t xml:space="preserve">ROW 46</t>
  </si>
  <si>
    <t xml:space="preserve">MO list Completed Qty</t>
  </si>
  <si>
    <t xml:space="preserve">mfg-lot-codes.html:69</t>
  </si>
  <si>
    <t xml:space="preserve">NOT a one-line repoint. Calls getWdu, which DIVIDES whatever it is handed. Six other callers, some correct.</t>
  </si>
  <si>
    <t xml:space="preserve">Traceability list produced</t>
  </si>
  <si>
    <t xml:space="preserve">product-traceability.ts:113</t>
  </si>
  <si>
    <t xml:space="preserve">Already green AND carried its own comment saying so. P118 earned its keep.</t>
  </si>
  <si>
    <t xml:space="preserve">Products list Stock On Hand</t>
  </si>
  <si>
    <t xml:space="preserve">admin-formulation.ts:878</t>
  </si>
  <si>
    <t xml:space="preserve">Already green. Proven on screen at 0.37 Kg/unit.</t>
  </si>
  <si>
    <t xml:space="preserve">Edit-formulation In Store</t>
  </si>
  <si>
    <t xml:space="preserve">formulation-edit-stock-info.ts:269</t>
  </si>
  <si>
    <t xml:space="preserve">Units half only. The Kg half reads formulations.inventory by design - two stock layers.</t>
  </si>
  <si>
    <t xml:space="preserve">Traceability view misc release</t>
  </si>
  <si>
    <t xml:space="preserve">Trace_ProductHeaderView</t>
  </si>
  <si>
    <t xml:space="preserve">JR20, both boxes. Traded derived-but-correct for stored-but-incomplete on pre-S103 rows. NO CLIENT ROW MOVED.</t>
  </si>
  <si>
    <t xml:space="preserve">Dispatch order - WRITES units</t>
  </si>
  <si>
    <t xml:space="preserve">add-dispatch-v2.ts:183,194</t>
  </si>
  <si>
    <t xml:space="preserve">IT WAS A ROUND-TRIP, WORSE THAN A DIVISION. Operator types the count, app derives Kg, then divided it back.</t>
  </si>
  <si>
    <t xml:space="preserve">MO detail receiving panel</t>
  </si>
  <si>
    <t xml:space="preserve">edit-mlc.html:258 + WhC_GetMoProductReceivingDetails_SP</t>
  </si>
  <si>
    <t xml:space="preserve">receiveproducts.qty added to the proc on EACH BOX. getWdu:355 deleted - html:258 was its only live caller. PROVEN dev MO-0005 two receipts 5 and 8, NOT 13 and 13. PROVEN prod Glutenull 1750 and 802.</t>
  </si>
  <si>
    <t xml:space="preserve">PART</t>
  </si>
  <si>
    <t xml:space="preserve">MO detail intermediate qty</t>
  </si>
  <si>
    <t xml:space="preserve">edit-mlc/edit-mlo/start-mlc html + WhC_GetMoIntermediateProducts_SP</t>
  </si>
  <si>
    <t xml:space="preserve">ROUNDING FIXED, BASIS NOT. Three templates now use getFactor() instead of the stored rounded batches. STILL Kg under a '# (UOM)' header - the proc serves subrecipeformulation.qty. NEEDS ship_qty ADDED TO THE PROC.</t>
  </si>
  <si>
    <t xml:space="preserve">MO detail intermediate stock</t>
  </si>
  <si>
    <t xml:space="preserve">WhC_GetFormulaIntermediateProducts</t>
  </si>
  <si>
    <t xml:space="preserve">Serves formulations.inventory (Kg). NEEDS formulations.inventory_units. No new join, no alias. Sits one line BELOW row 32 in the same four templates - do them together.</t>
  </si>
  <si>
    <t xml:space="preserve">MO detail Batch Materials</t>
  </si>
  <si>
    <t xml:space="preserve">Formulations.js:1150</t>
  </si>
  <si>
    <t xml:space="preserve">ROUNDING FIXED, BASIS NOT. Same line as row 36. PLAN's address for this row was WRONG - it named matList in the create/fork WRITE path. The real line is in getFormulaByIdForReleaseMaterial.</t>
  </si>
  <si>
    <t xml:space="preserve">Ingredient requirement</t>
  </si>
  <si>
    <t xml:space="preserve">Formulations.js:1120</t>
  </si>
  <si>
    <t xml:space="preserve">Now qty x (MO units / batch_qty), computed live, with a zero guard. Ingredients are Kg-anchored BY RULE, so basis was never wrong here. PROVEN: dev MO-0004 Ginger Powder 2303.609 to 2303.910, MATCHING Plan Quantity on the same page.</t>
  </si>
  <si>
    <t xml:space="preserve">Intermediate requirement</t>
  </si>
  <si>
    <t xml:space="preserve">ROUNDING FIXED, BASIS NOT. Reads formulation.qty (Kg) where RULES 7 source 1 says ship_qty (units). Closes when row 32's proc change lands.</t>
  </si>
  <si>
    <t xml:space="preserve">STEP 5</t>
  </si>
  <si>
    <t xml:space="preserve">Traceability view intermediate</t>
  </si>
  <si>
    <t xml:space="preserve">Trace_ProductHeaderView intermediate_prd_su</t>
  </si>
  <si>
    <t xml:space="preserve">Needs mprrecievelots.qty_allocated_units - THE COLUMN DOES NOT EXIST.</t>
  </si>
  <si>
    <t xml:space="preserve">Traceability view SOH</t>
  </si>
  <si>
    <t xml:space="preserve">Trace_ProductHeaderView SOH_su</t>
  </si>
  <si>
    <t xml:space="preserve">Subtracts five Kg terms then divides. DEPENDENT - last one fixable. THE HEADLINE FIGURE.</t>
  </si>
  <si>
    <t xml:space="preserve">IP trace backward</t>
  </si>
  <si>
    <t xml:space="preserve">Trace_ProductOneStepBackwardIP_SP</t>
  </si>
  <si>
    <t xml:space="preserve">TWO DEFECTS: divides qty_allocated AND joins fopackaging with no whd_flag filter. Its sibling carries the filter, with a comment. Copy it.</t>
  </si>
  <si>
    <t xml:space="preserve">IP trace forward</t>
  </si>
  <si>
    <t xml:space="preserve">Trace_ProductOneStepForwardIP_SP</t>
  </si>
  <si>
    <t xml:space="preserve">Divides qty_allocated. Four wildcard expansions.</t>
  </si>
  <si>
    <t xml:space="preserve">Release details screen</t>
  </si>
  <si>
    <t xml:space="preserve">...ReleaseDetails_SP</t>
  </si>
  <si>
    <t xml:space="preserve">All five STEP 5 rows wait on ONE column add, its Waterline attribute (TRAPS 3) and the write path.</t>
  </si>
  <si>
    <t xml:space="preserve">Return details screen</t>
  </si>
  <si>
    <t xml:space="preserve">...ReturnDetails_SP</t>
  </si>
  <si>
    <t xml:space="preserve">SURVEY FIRST. Minty's ruling S108.</t>
  </si>
  <si>
    <t xml:space="preserve">Product return stock balance</t>
  </si>
  <si>
    <t xml:space="preserve">ReturnMaterialProduct.js:68</t>
  </si>
  <si>
    <t xml:space="preserve">??</t>
  </si>
  <si>
    <t xml:space="preserve">DO details field named ship_qty</t>
  </si>
  <si>
    <t xml:space="preserve">do-details.ts:30,54</t>
  </si>
  <si>
    <t xml:space="preserve">Holds qty_to_ship, which is Kg. THE NAME SAYS UNITS, THE CONTENT IS WEIGHT.</t>
  </si>
  <si>
    <t xml:space="preserve">Material traceability</t>
  </si>
  <si>
    <t xml:space="preserve">material-traceability-details:169,170</t>
  </si>
  <si>
    <t xml:space="preserve">Materials are Kg-anchored BY DESIGN, so this may be correct. VERIFY AGAINST THE RULE.</t>
  </si>
  <si>
    <t xml:space="preserve">Seven-copy MO qty helper</t>
  </si>
  <si>
    <t xml:space="preserve">7 files, same sum</t>
  </si>
  <si>
    <t xml:space="preserve">NOT A BULK REPOINT. Each caller passes a DIFFERENT source and SOME DIVISIONS ARE CORRECT. Row 25 is one of the seven. OWN SITTING.</t>
  </si>
  <si>
    <t xml:space="preserve">Add dispatch v1 popup</t>
  </si>
  <si>
    <t xml:space="preserve">PopUps/add-dispatch</t>
  </si>
  <si>
    <t xml:space="preserve">Dead component, never opened. DELETE.</t>
  </si>
  <si>
    <t xml:space="preserve">P169</t>
  </si>
  <si>
    <t xml:space="preserve">Stock popup - transposed labels</t>
  </si>
  <si>
    <t xml:space="preserve">Stock Information popup, downstream-MO card</t>
  </si>
  <si>
    <t xml:space="preserve">Reads 15.170 (41.000 Kg). THE BARE NUMBER IS THE WEIGHT. Display only, nothing stored wrong.</t>
  </si>
  <si>
    <t xml:space="preserve">PART 3 - THE SCOREBOARD</t>
  </si>
  <si>
    <t xml:space="preserve">Counted live off PART 2. If a status changes there, these move.</t>
  </si>
  <si>
    <t xml:space="preserve">COUNT</t>
  </si>
  <si>
    <t xml:space="preserve">MEANING</t>
  </si>
  <si>
    <t xml:space="preserve">reads a stored count, follows the rule</t>
  </si>
  <si>
    <t xml:space="preserve">rounding fixed, basis still wrong</t>
  </si>
  <si>
    <t xml:space="preserve">calculates instead</t>
  </si>
  <si>
    <t xml:space="preserve">to review, not a defect</t>
  </si>
  <si>
    <t xml:space="preserve">TOTAL</t>
  </si>
  <si>
    <t xml:space="preserve">HOW IT MOVED</t>
  </si>
  <si>
    <t xml:space="preserve">AFTER</t>
  </si>
  <si>
    <t xml:space="preserve">WHAT MOVED</t>
  </si>
  <si>
    <t xml:space="preserve">GREEN</t>
  </si>
  <si>
    <t xml:space="preserve">as the survey recorded it</t>
  </si>
  <si>
    <t xml:space="preserve">corrected</t>
  </si>
  <si>
    <t xml:space="preserve">rows 21, 26, 27 were ALREADY OK</t>
  </si>
  <si>
    <t xml:space="preserve">four repoints, the dispatch write, the view</t>
  </si>
  <si>
    <t xml:space="preserve">row 31 receiving panel, row 35 ingredient requirement</t>
  </si>
  <si>
    <t xml:space="preserve">WHERE THE REMAINING WORK SITS</t>
  </si>
  <si>
    <t xml:space="preserve">JOB</t>
  </si>
  <si>
    <t xml:space="preserve">ROWS</t>
  </si>
  <si>
    <t xml:space="preserve">rows 32/33/34/36</t>
  </si>
  <si>
    <t xml:space="preserve">TWO PROCS, TWO COLUMN ADDS + a build. Rows 32 and 33 are ADJACENT LINES in the same four templates. Half-done S110 - the rounding. ship_qty and inventory_units still to serve.</t>
  </si>
  <si>
    <t xml:space="preserve">step 5 the schema</t>
  </si>
  <si>
    <t xml:space="preserve">Rows 37-41. P82 CLOSES HERE. ALTER + Waterline attribute (TRAPS 3) + write path BEFORE any read site. Own session.</t>
  </si>
  <si>
    <t xml:space="preserve">step 6 the return path</t>
  </si>
  <si>
    <t xml:space="preserve">Rows 20, 42, 43. SURVEY FIRST, not a fix list. THE SIGN ERROR STAYS LIVE ON BOTH CLIENTS until then.</t>
  </si>
  <si>
    <t xml:space="preserve">row 25 / the helper</t>
  </si>
  <si>
    <t xml:space="preserve">Calls getWdu, which divides whatever it is handed. Read all seven callers first. Own sitting.</t>
  </si>
  <si>
    <t xml:space="preserve">row 48 labels</t>
  </si>
  <si>
    <t xml:space="preserve">P169. Display only, nothing stored wrong.</t>
  </si>
  <si>
    <t xml:space="preserve">rows 44/45/46/47</t>
  </si>
  <si>
    <t xml:space="preserve">REVIEW, NOT DEFECTS. 45 may be correct by design - materials are Kg-anchored. 47 is dead code to delete.</t>
  </si>
  <si>
    <t xml:space="preserve">TOTAL NOT GREEN</t>
  </si>
  <si>
    <t xml:space="preserve">MUST EQUAL PART + XX + ?? in the table above. If it does not, a row is filed twice or not at all.</t>
  </si>
  <si>
    <t xml:space="preserve">PART 4 - HOW TO PROVE A FIX</t>
  </si>
  <si>
    <t xml:space="preserve">THE FIXTURE</t>
  </si>
  <si>
    <t xml:space="preserve">Company 474 on DEV. IP-0.37 (FO-0004) 0.37 Kg/unit, 19 units per batch. Parent-0.53 (FO-0005) 0.53 Kg/unit, 13 units per batch, Pouch/Carton 3/Case 7/Pallet 9.</t>
  </si>
  <si>
    <t xml:space="preserve">WHY THOSE NUMBERS</t>
  </si>
  <si>
    <t xml:space="preserve">19 AND 13 ARE BOTH PRIME and share no factors, so nearly any MO quantity produces a repeating decimal. TRAPS 9: a round ratio hides a division entirely.</t>
  </si>
  <si>
    <t xml:space="preserve">MO-0003</t>
  </si>
  <si>
    <t xml:space="preserve">IP-0.37, 41 units, COMPLETE. ONE receipt.</t>
  </si>
  <si>
    <t xml:space="preserve">MO-0004</t>
  </si>
  <si>
    <t xml:space="preserve">Parent-0.53, 23 pallets, NOT RELEASED. LEAVE IT ALONE - it is the before picture.</t>
  </si>
  <si>
    <t xml:space="preserve">MO-0005</t>
  </si>
  <si>
    <t xml:space="preserve">IP-0.37, 13 units, TWO RECEIPTS of 5 and 8. UNEQUAL DELIBERATELY - if a fix wrongly serves the MO total, both rows read 13 and the error is unmistakable. Built S109; row 31 could not have been proven without it.</t>
  </si>
  <si>
    <t xml:space="preserve">THE CONTROL</t>
  </si>
  <si>
    <t xml:space="preserve">Pouch 4347.000 Ea on MO-0004 = 23 x 9 x 7 x 3. IT MUST NOT MOVE AT ANY STEP. If a packaging figure shifts, THE FIX IS WRONG.</t>
  </si>
  <si>
    <t xml:space="preserve">ON A REPOINT</t>
  </si>
  <si>
    <t xml:space="preserve">A CHANGED VALUE IS A FAILURE. The figure is already arithmetically right; only the route changes.</t>
  </si>
  <si>
    <t xml:space="preserve">ON A RECALCULATION</t>
  </si>
  <si>
    <t xml:space="preserve">A changed value is EXPECTED and must be predicted BEFORE the write. S110 measured every client row first: Glutenull MO-0001 moved ~0.005% down, MO-0002 and all 13 Hagensborg MOs were EXACT and could not move.</t>
  </si>
  <si>
    <t xml:space="preserve">PROD IS BLIND</t>
  </si>
  <si>
    <t xml:space="preserve">Glutenull is 0.32 and 0.24 Kg/unit; Hagensborg's batch_qty is 1 on every MO. Round ratios where the old arithmetic landed exactly. THE DEV FIXTURES ARE THE ONLY REASON ANY OF IT IS PROVABLE.</t>
  </si>
  <si>
    <t xml:space="preserve">MEASURE FIRST</t>
  </si>
  <si>
    <t xml:space="preserve">A repoint cannot be verified against a memory. Capture the baseline BY QUERY before any code is written.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</si>
</sst>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9BD5A0"/>
        <bgColor rgb="FFBFBFBF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BD5A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BD5A0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5" t="s">
        <v>3</v>
      </c>
    </row>
    <row r="5" customFormat="false" ht="30" hidden="false" customHeight="true" outlineLevel="0" collapsed="false">
      <c r="A5" s="4" t="s">
        <v>4</v>
      </c>
      <c r="B5" s="5" t="s">
        <v>5</v>
      </c>
    </row>
    <row r="6" customFormat="false" ht="30" hidden="false" customHeight="true" outlineLevel="0" collapsed="false">
      <c r="A6" s="4" t="s">
        <v>6</v>
      </c>
      <c r="B6" s="5" t="s">
        <v>7</v>
      </c>
    </row>
    <row r="7" customFormat="false" ht="30" hidden="false" customHeight="true" outlineLevel="0" collapsed="false">
      <c r="A7" s="4" t="s">
        <v>8</v>
      </c>
      <c r="B7" s="5" t="s">
        <v>9</v>
      </c>
    </row>
    <row r="8" customFormat="false" ht="30" hidden="false" customHeight="true" outlineLevel="0" collapsed="false">
      <c r="A8" s="4"/>
      <c r="B8" s="5"/>
    </row>
    <row r="9" customFormat="false" ht="30" hidden="false" customHeight="true" outlineLevel="0" collapsed="false">
      <c r="A9" s="4" t="s">
        <v>10</v>
      </c>
      <c r="B9" s="5" t="s">
        <v>11</v>
      </c>
    </row>
    <row r="10" customFormat="false" ht="30" hidden="false" customHeight="true" outlineLevel="0" collapsed="false">
      <c r="A10" s="4" t="s">
        <v>12</v>
      </c>
      <c r="B10" s="5" t="s">
        <v>13</v>
      </c>
    </row>
    <row r="11" customFormat="false" ht="30" hidden="false" customHeight="true" outlineLevel="0" collapsed="false">
      <c r="A11" s="4"/>
      <c r="B11" s="5"/>
    </row>
    <row r="12" customFormat="false" ht="30" hidden="false" customHeight="true" outlineLevel="0" collapsed="false">
      <c r="A12" s="4" t="s">
        <v>14</v>
      </c>
      <c r="B12" s="5"/>
    </row>
    <row r="13" customFormat="false" ht="30" hidden="false" customHeight="true" outlineLevel="0" collapsed="false">
      <c r="A13" s="4" t="s">
        <v>15</v>
      </c>
      <c r="B13" s="5" t="s">
        <v>16</v>
      </c>
    </row>
    <row r="14" customFormat="false" ht="30" hidden="false" customHeight="true" outlineLevel="0" collapsed="false">
      <c r="A14" s="4" t="s">
        <v>17</v>
      </c>
      <c r="B14" s="5" t="s">
        <v>18</v>
      </c>
    </row>
    <row r="15" customFormat="false" ht="30" hidden="false" customHeight="true" outlineLevel="0" collapsed="false">
      <c r="A15" s="4" t="s">
        <v>19</v>
      </c>
      <c r="B15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52"/>
    <col collapsed="false" customWidth="true" hidden="false" outlineLevel="0" max="5" min="5" style="1" width="42"/>
  </cols>
  <sheetData>
    <row r="1" customFormat="false" ht="17.25" hidden="false" customHeight="true" outlineLevel="0" collapsed="false">
      <c r="A1" s="2" t="s">
        <v>21</v>
      </c>
    </row>
    <row r="2" customFormat="false" ht="15" hidden="false" customHeight="true" outlineLevel="0" collapsed="false">
      <c r="A2" s="4" t="s">
        <v>22</v>
      </c>
    </row>
    <row r="4" customFormat="false" ht="15" hidden="false" customHeight="true" outlineLevel="0" collapsed="false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</row>
    <row r="5" customFormat="false" ht="73.5" hidden="false" customHeight="true" outlineLevel="0" collapsed="false">
      <c r="A5" s="7" t="s">
        <v>28</v>
      </c>
      <c r="B5" s="8" t="s">
        <v>29</v>
      </c>
      <c r="C5" s="8" t="s">
        <v>30</v>
      </c>
      <c r="D5" s="8" t="s">
        <v>31</v>
      </c>
      <c r="E5" s="8" t="s">
        <v>32</v>
      </c>
    </row>
    <row r="6" customFormat="false" ht="73.5" hidden="false" customHeight="true" outlineLevel="0" collapsed="false">
      <c r="A6" s="7" t="s">
        <v>33</v>
      </c>
      <c r="B6" s="8" t="s">
        <v>34</v>
      </c>
      <c r="C6" s="8" t="s">
        <v>35</v>
      </c>
      <c r="D6" s="8" t="s">
        <v>36</v>
      </c>
      <c r="E6" s="8" t="s">
        <v>37</v>
      </c>
    </row>
    <row r="7" customFormat="false" ht="73.5" hidden="false" customHeight="true" outlineLevel="0" collapsed="false">
      <c r="A7" s="7" t="s">
        <v>38</v>
      </c>
      <c r="B7" s="8" t="s">
        <v>39</v>
      </c>
      <c r="C7" s="8" t="s">
        <v>40</v>
      </c>
      <c r="D7" s="8" t="s">
        <v>41</v>
      </c>
      <c r="E7" s="8" t="s">
        <v>42</v>
      </c>
    </row>
    <row r="8" customFormat="false" ht="73.5" hidden="false" customHeight="true" outlineLevel="0" collapsed="false">
      <c r="A8" s="7" t="s">
        <v>43</v>
      </c>
      <c r="B8" s="8" t="s">
        <v>44</v>
      </c>
      <c r="C8" s="8" t="s">
        <v>45</v>
      </c>
      <c r="D8" s="8" t="s">
        <v>46</v>
      </c>
      <c r="E8" s="8" t="s">
        <v>47</v>
      </c>
    </row>
    <row r="10" customFormat="false" ht="57" hidden="false" customHeight="true" outlineLevel="0" collapsed="false">
      <c r="A10" s="4" t="s">
        <v>48</v>
      </c>
      <c r="B10" s="9" t="s">
        <v>49</v>
      </c>
    </row>
    <row r="11" customFormat="false" ht="15" hidden="false" customHeight="true" outlineLevel="0" collapsed="false">
      <c r="B11" s="10" t="s">
        <v>50</v>
      </c>
    </row>
    <row r="12" customFormat="false" ht="15" hidden="false" customHeight="true" outlineLevel="0" collapsed="false">
      <c r="A12" s="4" t="s">
        <v>51</v>
      </c>
      <c r="B12" s="11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9"/>
    <col collapsed="false" customWidth="true" hidden="false" outlineLevel="0" max="4" min="4" style="1" width="34"/>
    <col collapsed="false" customWidth="true" hidden="false" outlineLevel="0" max="5" min="5" style="1" width="46"/>
    <col collapsed="false" customWidth="true" hidden="false" outlineLevel="0" max="6" min="6" style="1" width="96"/>
  </cols>
  <sheetData>
    <row r="1" customFormat="false" ht="17.25" hidden="false" customHeight="true" outlineLevel="0" collapsed="false">
      <c r="A1" s="2" t="s">
        <v>53</v>
      </c>
    </row>
    <row r="2" customFormat="false" ht="15" hidden="false" customHeight="true" outlineLevel="0" collapsed="false">
      <c r="A2" s="3" t="s">
        <v>54</v>
      </c>
    </row>
    <row r="4" customFormat="false" ht="39" hidden="false" customHeight="true" outlineLevel="0" collapsed="false">
      <c r="A4" s="6" t="s">
        <v>55</v>
      </c>
      <c r="B4" s="6" t="s">
        <v>56</v>
      </c>
      <c r="C4" s="6" t="s">
        <v>57</v>
      </c>
      <c r="D4" s="6" t="s">
        <v>58</v>
      </c>
      <c r="E4" s="6" t="s">
        <v>59</v>
      </c>
      <c r="F4" s="6" t="s">
        <v>60</v>
      </c>
    </row>
    <row r="5" customFormat="false" ht="15" hidden="false" customHeight="true" outlineLevel="0" collapsed="false">
      <c r="A5" s="12" t="n">
        <v>1</v>
      </c>
      <c r="B5" s="13" t="s">
        <v>61</v>
      </c>
      <c r="C5" s="14"/>
      <c r="D5" s="8" t="s">
        <v>62</v>
      </c>
      <c r="E5" s="8" t="s">
        <v>63</v>
      </c>
      <c r="F5" s="8" t="s">
        <v>64</v>
      </c>
    </row>
    <row r="6" customFormat="false" ht="15" hidden="false" customHeight="true" outlineLevel="0" collapsed="false">
      <c r="A6" s="12" t="n">
        <v>2</v>
      </c>
      <c r="B6" s="13" t="s">
        <v>61</v>
      </c>
      <c r="C6" s="14"/>
      <c r="D6" s="8" t="s">
        <v>65</v>
      </c>
      <c r="E6" s="8" t="s">
        <v>66</v>
      </c>
      <c r="F6" s="8"/>
    </row>
    <row r="7" customFormat="false" ht="15" hidden="false" customHeight="true" outlineLevel="0" collapsed="false">
      <c r="A7" s="12" t="n">
        <v>3</v>
      </c>
      <c r="B7" s="13" t="s">
        <v>61</v>
      </c>
      <c r="C7" s="14"/>
      <c r="D7" s="8" t="s">
        <v>67</v>
      </c>
      <c r="E7" s="8" t="s">
        <v>68</v>
      </c>
      <c r="F7" s="8"/>
    </row>
    <row r="8" customFormat="false" ht="15" hidden="false" customHeight="true" outlineLevel="0" collapsed="false">
      <c r="A8" s="12" t="n">
        <v>4</v>
      </c>
      <c r="B8" s="13" t="s">
        <v>61</v>
      </c>
      <c r="C8" s="14"/>
      <c r="D8" s="8" t="s">
        <v>69</v>
      </c>
      <c r="E8" s="8" t="s">
        <v>70</v>
      </c>
      <c r="F8" s="8"/>
    </row>
    <row r="9" customFormat="false" ht="15" hidden="false" customHeight="true" outlineLevel="0" collapsed="false">
      <c r="A9" s="12" t="n">
        <v>5</v>
      </c>
      <c r="B9" s="13" t="s">
        <v>61</v>
      </c>
      <c r="C9" s="14"/>
      <c r="D9" s="8" t="s">
        <v>71</v>
      </c>
      <c r="E9" s="8" t="s">
        <v>72</v>
      </c>
      <c r="F9" s="8"/>
    </row>
    <row r="10" customFormat="false" ht="15" hidden="false" customHeight="true" outlineLevel="0" collapsed="false">
      <c r="A10" s="12" t="n">
        <v>6</v>
      </c>
      <c r="B10" s="13" t="s">
        <v>61</v>
      </c>
      <c r="C10" s="14"/>
      <c r="D10" s="8" t="s">
        <v>73</v>
      </c>
      <c r="E10" s="8" t="s">
        <v>74</v>
      </c>
      <c r="F10" s="8"/>
    </row>
    <row r="11" customFormat="false" ht="15" hidden="false" customHeight="true" outlineLevel="0" collapsed="false">
      <c r="A11" s="12" t="n">
        <v>7</v>
      </c>
      <c r="B11" s="13" t="s">
        <v>61</v>
      </c>
      <c r="C11" s="14"/>
      <c r="D11" s="8" t="s">
        <v>75</v>
      </c>
      <c r="E11" s="8" t="s">
        <v>76</v>
      </c>
      <c r="F11" s="8"/>
    </row>
    <row r="12" customFormat="false" ht="15" hidden="false" customHeight="true" outlineLevel="0" collapsed="false">
      <c r="A12" s="12" t="n">
        <v>8</v>
      </c>
      <c r="B12" s="13" t="s">
        <v>61</v>
      </c>
      <c r="C12" s="14"/>
      <c r="D12" s="8" t="s">
        <v>77</v>
      </c>
      <c r="E12" s="8" t="s">
        <v>78</v>
      </c>
      <c r="F12" s="8"/>
    </row>
    <row r="13" customFormat="false" ht="15" hidden="false" customHeight="true" outlineLevel="0" collapsed="false">
      <c r="A13" s="12" t="n">
        <v>9</v>
      </c>
      <c r="B13" s="13" t="s">
        <v>61</v>
      </c>
      <c r="C13" s="14"/>
      <c r="D13" s="8" t="s">
        <v>79</v>
      </c>
      <c r="E13" s="8" t="s">
        <v>80</v>
      </c>
      <c r="F13" s="8"/>
    </row>
    <row r="14" customFormat="false" ht="15" hidden="false" customHeight="true" outlineLevel="0" collapsed="false">
      <c r="A14" s="12" t="n">
        <v>10</v>
      </c>
      <c r="B14" s="13" t="s">
        <v>61</v>
      </c>
      <c r="C14" s="14"/>
      <c r="D14" s="8" t="s">
        <v>81</v>
      </c>
      <c r="E14" s="8" t="s">
        <v>82</v>
      </c>
      <c r="F14" s="8"/>
    </row>
    <row r="15" customFormat="false" ht="15" hidden="false" customHeight="true" outlineLevel="0" collapsed="false">
      <c r="A15" s="12" t="n">
        <v>11</v>
      </c>
      <c r="B15" s="13" t="s">
        <v>61</v>
      </c>
      <c r="C15" s="14"/>
      <c r="D15" s="8" t="s">
        <v>83</v>
      </c>
      <c r="E15" s="8" t="s">
        <v>84</v>
      </c>
      <c r="F15" s="8"/>
    </row>
    <row r="16" customFormat="false" ht="15" hidden="false" customHeight="true" outlineLevel="0" collapsed="false">
      <c r="A16" s="12" t="n">
        <v>12</v>
      </c>
      <c r="B16" s="13" t="s">
        <v>61</v>
      </c>
      <c r="C16" s="14"/>
      <c r="D16" s="8" t="s">
        <v>85</v>
      </c>
      <c r="E16" s="8" t="s">
        <v>86</v>
      </c>
      <c r="F16" s="8"/>
    </row>
    <row r="17" customFormat="false" ht="15" hidden="false" customHeight="true" outlineLevel="0" collapsed="false">
      <c r="A17" s="12" t="n">
        <v>13</v>
      </c>
      <c r="B17" s="13" t="s">
        <v>61</v>
      </c>
      <c r="C17" s="14"/>
      <c r="D17" s="8" t="s">
        <v>87</v>
      </c>
      <c r="E17" s="8" t="s">
        <v>88</v>
      </c>
      <c r="F17" s="8"/>
    </row>
    <row r="18" customFormat="false" ht="15" hidden="false" customHeight="true" outlineLevel="0" collapsed="false">
      <c r="A18" s="12" t="n">
        <v>14</v>
      </c>
      <c r="B18" s="13" t="s">
        <v>61</v>
      </c>
      <c r="C18" s="14"/>
      <c r="D18" s="8" t="s">
        <v>89</v>
      </c>
      <c r="E18" s="8" t="s">
        <v>90</v>
      </c>
      <c r="F18" s="8"/>
    </row>
    <row r="19" customFormat="false" ht="15" hidden="false" customHeight="true" outlineLevel="0" collapsed="false">
      <c r="A19" s="12" t="n">
        <v>15</v>
      </c>
      <c r="B19" s="13" t="s">
        <v>61</v>
      </c>
      <c r="C19" s="14"/>
      <c r="D19" s="8" t="s">
        <v>91</v>
      </c>
      <c r="E19" s="8" t="s">
        <v>92</v>
      </c>
      <c r="F19" s="8"/>
    </row>
    <row r="20" customFormat="false" ht="15" hidden="false" customHeight="true" outlineLevel="0" collapsed="false">
      <c r="A20" s="12" t="n">
        <v>16</v>
      </c>
      <c r="B20" s="13" t="s">
        <v>61</v>
      </c>
      <c r="C20" s="14"/>
      <c r="D20" s="8" t="s">
        <v>93</v>
      </c>
      <c r="E20" s="8" t="s">
        <v>94</v>
      </c>
      <c r="F20" s="8"/>
    </row>
    <row r="21" customFormat="false" ht="15" hidden="false" customHeight="true" outlineLevel="0" collapsed="false">
      <c r="A21" s="12" t="n">
        <v>17</v>
      </c>
      <c r="B21" s="13" t="s">
        <v>61</v>
      </c>
      <c r="C21" s="14"/>
      <c r="D21" s="8" t="s">
        <v>95</v>
      </c>
      <c r="E21" s="8" t="s">
        <v>96</v>
      </c>
      <c r="F21" s="8"/>
    </row>
    <row r="22" customFormat="false" ht="15" hidden="false" customHeight="true" outlineLevel="0" collapsed="false">
      <c r="A22" s="12" t="n">
        <v>18</v>
      </c>
      <c r="B22" s="13" t="s">
        <v>61</v>
      </c>
      <c r="C22" s="14"/>
      <c r="D22" s="8" t="s">
        <v>97</v>
      </c>
      <c r="E22" s="8" t="s">
        <v>98</v>
      </c>
      <c r="F22" s="8"/>
    </row>
    <row r="23" customFormat="false" ht="15" hidden="false" customHeight="true" outlineLevel="0" collapsed="false">
      <c r="A23" s="12" t="n">
        <v>19</v>
      </c>
      <c r="B23" s="13" t="s">
        <v>61</v>
      </c>
      <c r="C23" s="14"/>
      <c r="D23" s="8" t="s">
        <v>99</v>
      </c>
      <c r="E23" s="8" t="s">
        <v>100</v>
      </c>
      <c r="F23" s="8" t="s">
        <v>101</v>
      </c>
    </row>
    <row r="24" customFormat="false" ht="15" hidden="false" customHeight="true" outlineLevel="0" collapsed="false">
      <c r="A24" s="12" t="n">
        <v>20</v>
      </c>
      <c r="B24" s="15" t="s">
        <v>102</v>
      </c>
      <c r="C24" s="14" t="s">
        <v>103</v>
      </c>
      <c r="D24" s="8" t="s">
        <v>104</v>
      </c>
      <c r="E24" s="8" t="s">
        <v>105</v>
      </c>
      <c r="F24" s="8" t="s">
        <v>106</v>
      </c>
    </row>
    <row r="25" customFormat="false" ht="15" hidden="false" customHeight="true" outlineLevel="0" collapsed="false">
      <c r="A25" s="12" t="n">
        <v>21</v>
      </c>
      <c r="B25" s="13" t="s">
        <v>61</v>
      </c>
      <c r="C25" s="14" t="s">
        <v>107</v>
      </c>
      <c r="D25" s="8" t="s">
        <v>108</v>
      </c>
      <c r="E25" s="8" t="s">
        <v>109</v>
      </c>
      <c r="F25" s="8" t="s">
        <v>110</v>
      </c>
    </row>
    <row r="26" customFormat="false" ht="15" hidden="false" customHeight="true" outlineLevel="0" collapsed="false">
      <c r="A26" s="12" t="n">
        <v>22</v>
      </c>
      <c r="B26" s="13" t="s">
        <v>61</v>
      </c>
      <c r="C26" s="14" t="s">
        <v>17</v>
      </c>
      <c r="D26" s="8" t="s">
        <v>111</v>
      </c>
      <c r="E26" s="8" t="s">
        <v>112</v>
      </c>
      <c r="F26" s="8" t="s">
        <v>113</v>
      </c>
    </row>
    <row r="27" customFormat="false" ht="34.5" hidden="false" customHeight="true" outlineLevel="0" collapsed="false">
      <c r="A27" s="12" t="n">
        <v>23</v>
      </c>
      <c r="B27" s="13" t="s">
        <v>61</v>
      </c>
      <c r="C27" s="14" t="s">
        <v>114</v>
      </c>
      <c r="D27" s="8" t="s">
        <v>111</v>
      </c>
      <c r="E27" s="8" t="s">
        <v>115</v>
      </c>
      <c r="F27" s="8" t="s">
        <v>116</v>
      </c>
    </row>
    <row r="28" customFormat="false" ht="15" hidden="false" customHeight="true" outlineLevel="0" collapsed="false">
      <c r="A28" s="12" t="n">
        <v>24</v>
      </c>
      <c r="B28" s="13" t="s">
        <v>61</v>
      </c>
      <c r="C28" s="14" t="s">
        <v>17</v>
      </c>
      <c r="D28" s="8" t="s">
        <v>117</v>
      </c>
      <c r="E28" s="8" t="s">
        <v>118</v>
      </c>
      <c r="F28" s="8" t="s">
        <v>119</v>
      </c>
    </row>
    <row r="29" customFormat="false" ht="15" hidden="false" customHeight="true" outlineLevel="0" collapsed="false">
      <c r="A29" s="12" t="n">
        <v>25</v>
      </c>
      <c r="B29" s="15" t="s">
        <v>102</v>
      </c>
      <c r="C29" s="14" t="s">
        <v>120</v>
      </c>
      <c r="D29" s="8" t="s">
        <v>121</v>
      </c>
      <c r="E29" s="8" t="s">
        <v>122</v>
      </c>
      <c r="F29" s="8" t="s">
        <v>123</v>
      </c>
    </row>
    <row r="30" customFormat="false" ht="15" hidden="false" customHeight="true" outlineLevel="0" collapsed="false">
      <c r="A30" s="12" t="n">
        <v>26</v>
      </c>
      <c r="B30" s="13" t="s">
        <v>61</v>
      </c>
      <c r="C30" s="14" t="s">
        <v>107</v>
      </c>
      <c r="D30" s="8" t="s">
        <v>124</v>
      </c>
      <c r="E30" s="8" t="s">
        <v>125</v>
      </c>
      <c r="F30" s="8" t="s">
        <v>126</v>
      </c>
    </row>
    <row r="31" customFormat="false" ht="15" hidden="false" customHeight="true" outlineLevel="0" collapsed="false">
      <c r="A31" s="12" t="n">
        <v>27</v>
      </c>
      <c r="B31" s="13" t="s">
        <v>61</v>
      </c>
      <c r="C31" s="14" t="s">
        <v>107</v>
      </c>
      <c r="D31" s="8" t="s">
        <v>127</v>
      </c>
      <c r="E31" s="8" t="s">
        <v>128</v>
      </c>
      <c r="F31" s="8" t="s">
        <v>129</v>
      </c>
    </row>
    <row r="32" customFormat="false" ht="15" hidden="false" customHeight="true" outlineLevel="0" collapsed="false">
      <c r="A32" s="12" t="n">
        <v>28</v>
      </c>
      <c r="B32" s="13" t="s">
        <v>61</v>
      </c>
      <c r="C32" s="14" t="s">
        <v>17</v>
      </c>
      <c r="D32" s="8" t="s">
        <v>130</v>
      </c>
      <c r="E32" s="8" t="s">
        <v>131</v>
      </c>
      <c r="F32" s="8" t="s">
        <v>132</v>
      </c>
    </row>
    <row r="33" customFormat="false" ht="15" hidden="false" customHeight="true" outlineLevel="0" collapsed="false">
      <c r="A33" s="12" t="n">
        <v>29</v>
      </c>
      <c r="B33" s="13" t="s">
        <v>61</v>
      </c>
      <c r="C33" s="14" t="s">
        <v>17</v>
      </c>
      <c r="D33" s="8" t="s">
        <v>133</v>
      </c>
      <c r="E33" s="8" t="s">
        <v>134</v>
      </c>
      <c r="F33" s="8" t="s">
        <v>135</v>
      </c>
    </row>
    <row r="34" customFormat="false" ht="15" hidden="false" customHeight="true" outlineLevel="0" collapsed="false">
      <c r="A34" s="12" t="n">
        <v>30</v>
      </c>
      <c r="B34" s="13" t="s">
        <v>61</v>
      </c>
      <c r="C34" s="14" t="s">
        <v>17</v>
      </c>
      <c r="D34" s="8" t="s">
        <v>136</v>
      </c>
      <c r="E34" s="8" t="s">
        <v>137</v>
      </c>
      <c r="F34" s="8" t="s">
        <v>138</v>
      </c>
    </row>
    <row r="35" customFormat="false" ht="23.25" hidden="false" customHeight="true" outlineLevel="0" collapsed="false">
      <c r="A35" s="12" t="n">
        <v>31</v>
      </c>
      <c r="B35" s="16" t="s">
        <v>61</v>
      </c>
      <c r="C35" s="14" t="s">
        <v>19</v>
      </c>
      <c r="D35" s="8" t="s">
        <v>139</v>
      </c>
      <c r="E35" s="8" t="s">
        <v>140</v>
      </c>
      <c r="F35" s="8" t="s">
        <v>141</v>
      </c>
    </row>
    <row r="36" customFormat="false" ht="23.25" hidden="false" customHeight="true" outlineLevel="0" collapsed="false">
      <c r="A36" s="12" t="n">
        <v>32</v>
      </c>
      <c r="B36" s="16" t="s">
        <v>142</v>
      </c>
      <c r="C36" s="14" t="s">
        <v>19</v>
      </c>
      <c r="D36" s="8" t="s">
        <v>143</v>
      </c>
      <c r="E36" s="8" t="s">
        <v>144</v>
      </c>
      <c r="F36" s="8" t="s">
        <v>145</v>
      </c>
    </row>
    <row r="37" customFormat="false" ht="23.25" hidden="false" customHeight="true" outlineLevel="0" collapsed="false">
      <c r="A37" s="12" t="n">
        <v>33</v>
      </c>
      <c r="B37" s="15" t="s">
        <v>102</v>
      </c>
      <c r="C37" s="14"/>
      <c r="D37" s="8" t="s">
        <v>146</v>
      </c>
      <c r="E37" s="8" t="s">
        <v>147</v>
      </c>
      <c r="F37" s="8" t="s">
        <v>148</v>
      </c>
    </row>
    <row r="38" customFormat="false" ht="23.25" hidden="false" customHeight="true" outlineLevel="0" collapsed="false">
      <c r="A38" s="12" t="n">
        <v>34</v>
      </c>
      <c r="B38" s="16" t="s">
        <v>142</v>
      </c>
      <c r="C38" s="14" t="s">
        <v>19</v>
      </c>
      <c r="D38" s="8" t="s">
        <v>149</v>
      </c>
      <c r="E38" s="8" t="s">
        <v>150</v>
      </c>
      <c r="F38" s="8" t="s">
        <v>151</v>
      </c>
    </row>
    <row r="39" customFormat="false" ht="34.5" hidden="false" customHeight="true" outlineLevel="0" collapsed="false">
      <c r="A39" s="12" t="n">
        <v>35</v>
      </c>
      <c r="B39" s="16" t="s">
        <v>61</v>
      </c>
      <c r="C39" s="14" t="s">
        <v>19</v>
      </c>
      <c r="D39" s="8" t="s">
        <v>152</v>
      </c>
      <c r="E39" s="8" t="s">
        <v>153</v>
      </c>
      <c r="F39" s="8" t="s">
        <v>154</v>
      </c>
    </row>
    <row r="40" customFormat="false" ht="23.25" hidden="false" customHeight="true" outlineLevel="0" collapsed="false">
      <c r="A40" s="12" t="n">
        <v>36</v>
      </c>
      <c r="B40" s="16" t="s">
        <v>142</v>
      </c>
      <c r="C40" s="14" t="s">
        <v>19</v>
      </c>
      <c r="D40" s="8" t="s">
        <v>155</v>
      </c>
      <c r="E40" s="8" t="s">
        <v>150</v>
      </c>
      <c r="F40" s="8" t="s">
        <v>156</v>
      </c>
    </row>
    <row r="41" customFormat="false" ht="15" hidden="false" customHeight="true" outlineLevel="0" collapsed="false">
      <c r="A41" s="12" t="n">
        <v>37</v>
      </c>
      <c r="B41" s="15" t="s">
        <v>102</v>
      </c>
      <c r="C41" s="14" t="s">
        <v>157</v>
      </c>
      <c r="D41" s="8" t="s">
        <v>158</v>
      </c>
      <c r="E41" s="8" t="s">
        <v>159</v>
      </c>
      <c r="F41" s="8" t="s">
        <v>160</v>
      </c>
    </row>
    <row r="42" customFormat="false" ht="15" hidden="false" customHeight="true" outlineLevel="0" collapsed="false">
      <c r="A42" s="12" t="n">
        <v>38</v>
      </c>
      <c r="B42" s="15" t="s">
        <v>102</v>
      </c>
      <c r="C42" s="14" t="s">
        <v>157</v>
      </c>
      <c r="D42" s="8" t="s">
        <v>161</v>
      </c>
      <c r="E42" s="8" t="s">
        <v>162</v>
      </c>
      <c r="F42" s="8" t="s">
        <v>163</v>
      </c>
    </row>
    <row r="43" customFormat="false" ht="23.25" hidden="false" customHeight="true" outlineLevel="0" collapsed="false">
      <c r="A43" s="12" t="n">
        <v>39</v>
      </c>
      <c r="B43" s="15" t="s">
        <v>102</v>
      </c>
      <c r="C43" s="14" t="s">
        <v>157</v>
      </c>
      <c r="D43" s="8" t="s">
        <v>164</v>
      </c>
      <c r="E43" s="8" t="s">
        <v>165</v>
      </c>
      <c r="F43" s="8" t="s">
        <v>166</v>
      </c>
    </row>
    <row r="44" customFormat="false" ht="15" hidden="false" customHeight="true" outlineLevel="0" collapsed="false">
      <c r="A44" s="12" t="n">
        <v>40</v>
      </c>
      <c r="B44" s="15" t="s">
        <v>102</v>
      </c>
      <c r="C44" s="14" t="s">
        <v>157</v>
      </c>
      <c r="D44" s="8" t="s">
        <v>167</v>
      </c>
      <c r="E44" s="8" t="s">
        <v>168</v>
      </c>
      <c r="F44" s="8" t="s">
        <v>169</v>
      </c>
    </row>
    <row r="45" customFormat="false" ht="15" hidden="false" customHeight="true" outlineLevel="0" collapsed="false">
      <c r="A45" s="12" t="n">
        <v>41</v>
      </c>
      <c r="B45" s="15" t="s">
        <v>102</v>
      </c>
      <c r="C45" s="14" t="s">
        <v>157</v>
      </c>
      <c r="D45" s="8" t="s">
        <v>170</v>
      </c>
      <c r="E45" s="8" t="s">
        <v>171</v>
      </c>
      <c r="F45" s="8" t="s">
        <v>172</v>
      </c>
    </row>
    <row r="46" customFormat="false" ht="15" hidden="false" customHeight="true" outlineLevel="0" collapsed="false">
      <c r="A46" s="12" t="n">
        <v>42</v>
      </c>
      <c r="B46" s="15" t="s">
        <v>102</v>
      </c>
      <c r="C46" s="14" t="s">
        <v>103</v>
      </c>
      <c r="D46" s="8" t="s">
        <v>173</v>
      </c>
      <c r="E46" s="8" t="s">
        <v>174</v>
      </c>
      <c r="F46" s="8" t="s">
        <v>175</v>
      </c>
    </row>
    <row r="47" customFormat="false" ht="15" hidden="false" customHeight="true" outlineLevel="0" collapsed="false">
      <c r="A47" s="12" t="n">
        <v>43</v>
      </c>
      <c r="B47" s="15" t="s">
        <v>102</v>
      </c>
      <c r="C47" s="14" t="s">
        <v>103</v>
      </c>
      <c r="D47" s="8" t="s">
        <v>176</v>
      </c>
      <c r="E47" s="8" t="s">
        <v>177</v>
      </c>
      <c r="F47" s="8"/>
    </row>
    <row r="48" customFormat="false" ht="15" hidden="false" customHeight="true" outlineLevel="0" collapsed="false">
      <c r="A48" s="12" t="n">
        <v>44</v>
      </c>
      <c r="B48" s="17" t="s">
        <v>178</v>
      </c>
      <c r="C48" s="14"/>
      <c r="D48" s="8" t="s">
        <v>179</v>
      </c>
      <c r="E48" s="8" t="s">
        <v>180</v>
      </c>
      <c r="F48" s="8" t="s">
        <v>181</v>
      </c>
    </row>
    <row r="49" customFormat="false" ht="15" hidden="false" customHeight="true" outlineLevel="0" collapsed="false">
      <c r="A49" s="12" t="n">
        <v>45</v>
      </c>
      <c r="B49" s="17" t="s">
        <v>178</v>
      </c>
      <c r="C49" s="14"/>
      <c r="D49" s="8" t="s">
        <v>182</v>
      </c>
      <c r="E49" s="8" t="s">
        <v>183</v>
      </c>
      <c r="F49" s="8" t="s">
        <v>184</v>
      </c>
    </row>
    <row r="50" customFormat="false" ht="23.25" hidden="false" customHeight="true" outlineLevel="0" collapsed="false">
      <c r="A50" s="12" t="n">
        <v>46</v>
      </c>
      <c r="B50" s="17" t="s">
        <v>178</v>
      </c>
      <c r="C50" s="14"/>
      <c r="D50" s="8" t="s">
        <v>185</v>
      </c>
      <c r="E50" s="8" t="s">
        <v>186</v>
      </c>
      <c r="F50" s="8" t="s">
        <v>187</v>
      </c>
    </row>
    <row r="51" customFormat="false" ht="15" hidden="false" customHeight="true" outlineLevel="0" collapsed="false">
      <c r="A51" s="12" t="n">
        <v>47</v>
      </c>
      <c r="B51" s="17" t="s">
        <v>178</v>
      </c>
      <c r="C51" s="14"/>
      <c r="D51" s="8" t="s">
        <v>188</v>
      </c>
      <c r="E51" s="8" t="s">
        <v>189</v>
      </c>
      <c r="F51" s="8" t="s">
        <v>190</v>
      </c>
    </row>
    <row r="52" customFormat="false" ht="15" hidden="false" customHeight="true" outlineLevel="0" collapsed="false">
      <c r="A52" s="12" t="n">
        <v>48</v>
      </c>
      <c r="B52" s="15" t="s">
        <v>102</v>
      </c>
      <c r="C52" s="14" t="s">
        <v>191</v>
      </c>
      <c r="D52" s="8" t="s">
        <v>192</v>
      </c>
      <c r="E52" s="8" t="s">
        <v>193</v>
      </c>
      <c r="F52" s="8" t="s">
        <v>194</v>
      </c>
    </row>
  </sheetData>
  <autoFilter ref="A4:F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3" min="3" style="1" width="92"/>
  </cols>
  <sheetData>
    <row r="1" customFormat="false" ht="17.25" hidden="false" customHeight="true" outlineLevel="0" collapsed="false">
      <c r="A1" s="2" t="s">
        <v>195</v>
      </c>
    </row>
    <row r="2" customFormat="false" ht="15" hidden="false" customHeight="true" outlineLevel="0" collapsed="false">
      <c r="A2" s="3" t="s">
        <v>196</v>
      </c>
    </row>
    <row r="4" customFormat="false" ht="15" hidden="false" customHeight="true" outlineLevel="0" collapsed="false">
      <c r="A4" s="18" t="s">
        <v>56</v>
      </c>
      <c r="B4" s="18" t="s">
        <v>197</v>
      </c>
      <c r="C4" s="18" t="s">
        <v>198</v>
      </c>
    </row>
    <row r="5" customFormat="false" ht="15" hidden="false" customHeight="true" outlineLevel="0" collapsed="false">
      <c r="A5" s="4" t="s">
        <v>61</v>
      </c>
      <c r="B5" s="11" t="n">
        <f aca="false">COUNTIF('PART 2 THE MAP'!$B$5:$B$52,"OK")</f>
        <v>30</v>
      </c>
      <c r="C5" s="11" t="s">
        <v>199</v>
      </c>
    </row>
    <row r="6" customFormat="false" ht="15" hidden="false" customHeight="true" outlineLevel="0" collapsed="false">
      <c r="A6" s="4" t="s">
        <v>142</v>
      </c>
      <c r="B6" s="11" t="n">
        <f aca="false">COUNTIF('PART 2 THE MAP'!$B$5:$B$52,"PART")</f>
        <v>3</v>
      </c>
      <c r="C6" s="11" t="s">
        <v>200</v>
      </c>
    </row>
    <row r="7" customFormat="false" ht="15" hidden="false" customHeight="true" outlineLevel="0" collapsed="false">
      <c r="A7" s="4" t="s">
        <v>102</v>
      </c>
      <c r="B7" s="11" t="n">
        <f aca="false">COUNTIF('PART 2 THE MAP'!$B$5:$B$52,"XX")</f>
        <v>11</v>
      </c>
      <c r="C7" s="11" t="s">
        <v>201</v>
      </c>
    </row>
    <row r="8" customFormat="false" ht="15" hidden="false" customHeight="true" outlineLevel="0" collapsed="false">
      <c r="A8" s="4" t="s">
        <v>178</v>
      </c>
      <c r="B8" s="11" t="n">
        <f aca="false">COUNTIF('PART 2 THE MAP'!$B$5:$B$52,"~?~?")</f>
        <v>4</v>
      </c>
      <c r="C8" s="11" t="s">
        <v>202</v>
      </c>
    </row>
    <row r="9" customFormat="false" ht="15" hidden="false" customHeight="true" outlineLevel="0" collapsed="false">
      <c r="A9" s="4" t="s">
        <v>203</v>
      </c>
      <c r="B9" s="4" t="n">
        <f aca="false">SUM(B5:B8)</f>
        <v>48</v>
      </c>
    </row>
    <row r="11" customFormat="false" ht="15" hidden="false" customHeight="true" outlineLevel="0" collapsed="false">
      <c r="A11" s="4" t="s">
        <v>204</v>
      </c>
    </row>
    <row r="12" customFormat="false" ht="15" hidden="false" customHeight="true" outlineLevel="0" collapsed="false">
      <c r="A12" s="18" t="s">
        <v>205</v>
      </c>
      <c r="B12" s="18" t="s">
        <v>206</v>
      </c>
      <c r="C12" s="18" t="s">
        <v>207</v>
      </c>
    </row>
    <row r="13" customFormat="false" ht="15" hidden="false" customHeight="true" outlineLevel="0" collapsed="false">
      <c r="A13" s="4" t="s">
        <v>15</v>
      </c>
      <c r="B13" s="11" t="s">
        <v>208</v>
      </c>
      <c r="C13" s="11" t="n">
        <v>19</v>
      </c>
    </row>
    <row r="14" customFormat="false" ht="15" hidden="false" customHeight="true" outlineLevel="0" collapsed="false">
      <c r="A14" s="4" t="s">
        <v>209</v>
      </c>
      <c r="B14" s="11" t="s">
        <v>210</v>
      </c>
      <c r="C14" s="11" t="n">
        <v>22</v>
      </c>
    </row>
    <row r="15" customFormat="false" ht="15" hidden="false" customHeight="true" outlineLevel="0" collapsed="false">
      <c r="A15" s="4" t="s">
        <v>17</v>
      </c>
      <c r="B15" s="11" t="s">
        <v>211</v>
      </c>
      <c r="C15" s="11" t="n">
        <v>28</v>
      </c>
    </row>
    <row r="16" customFormat="false" ht="15" hidden="false" customHeight="true" outlineLevel="0" collapsed="false">
      <c r="A16" s="4" t="s">
        <v>19</v>
      </c>
      <c r="B16" s="11" t="s">
        <v>212</v>
      </c>
      <c r="C16" s="11" t="n">
        <v>30</v>
      </c>
    </row>
    <row r="18" customFormat="false" ht="15" hidden="false" customHeight="true" outlineLevel="0" collapsed="false">
      <c r="A18" s="4" t="s">
        <v>213</v>
      </c>
    </row>
    <row r="19" customFormat="false" ht="15" hidden="false" customHeight="true" outlineLevel="0" collapsed="false">
      <c r="A19" s="18" t="s">
        <v>214</v>
      </c>
      <c r="B19" s="18" t="s">
        <v>215</v>
      </c>
      <c r="C19" s="18" t="s">
        <v>60</v>
      </c>
    </row>
    <row r="20" customFormat="false" ht="42" hidden="false" customHeight="true" outlineLevel="0" collapsed="false">
      <c r="A20" s="4" t="s">
        <v>216</v>
      </c>
      <c r="B20" s="11" t="n">
        <v>4</v>
      </c>
      <c r="C20" s="5" t="s">
        <v>217</v>
      </c>
    </row>
    <row r="21" customFormat="false" ht="42" hidden="false" customHeight="true" outlineLevel="0" collapsed="false">
      <c r="A21" s="4" t="s">
        <v>218</v>
      </c>
      <c r="B21" s="11" t="n">
        <v>5</v>
      </c>
      <c r="C21" s="5" t="s">
        <v>219</v>
      </c>
    </row>
    <row r="22" customFormat="false" ht="42" hidden="false" customHeight="true" outlineLevel="0" collapsed="false">
      <c r="A22" s="4" t="s">
        <v>220</v>
      </c>
      <c r="B22" s="11" t="n">
        <v>3</v>
      </c>
      <c r="C22" s="5" t="s">
        <v>221</v>
      </c>
    </row>
    <row r="23" customFormat="false" ht="42" hidden="false" customHeight="true" outlineLevel="0" collapsed="false">
      <c r="A23" s="4" t="s">
        <v>222</v>
      </c>
      <c r="B23" s="11" t="n">
        <v>1</v>
      </c>
      <c r="C23" s="5" t="s">
        <v>223</v>
      </c>
    </row>
    <row r="24" customFormat="false" ht="42" hidden="false" customHeight="true" outlineLevel="0" collapsed="false">
      <c r="A24" s="4" t="s">
        <v>224</v>
      </c>
      <c r="B24" s="11" t="n">
        <v>1</v>
      </c>
      <c r="C24" s="5" t="s">
        <v>225</v>
      </c>
    </row>
    <row r="25" customFormat="false" ht="42" hidden="false" customHeight="true" outlineLevel="0" collapsed="false">
      <c r="A25" s="4" t="s">
        <v>226</v>
      </c>
      <c r="B25" s="11" t="n">
        <v>4</v>
      </c>
      <c r="C25" s="5" t="s">
        <v>227</v>
      </c>
    </row>
    <row r="26" customFormat="false" ht="15" hidden="false" customHeight="true" outlineLevel="0" collapsed="false">
      <c r="A26" s="4" t="s">
        <v>228</v>
      </c>
      <c r="B26" s="4" t="n">
        <f aca="false">SUM(B20:B25)</f>
        <v>18</v>
      </c>
      <c r="C26" s="19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230</v>
      </c>
    </row>
    <row r="3" customFormat="false" ht="43.5" hidden="false" customHeight="true" outlineLevel="0" collapsed="false">
      <c r="A3" s="4" t="s">
        <v>231</v>
      </c>
      <c r="B3" s="5" t="s">
        <v>232</v>
      </c>
    </row>
    <row r="4" customFormat="false" ht="43.5" hidden="false" customHeight="true" outlineLevel="0" collapsed="false">
      <c r="A4" s="4" t="s">
        <v>233</v>
      </c>
      <c r="B4" s="5" t="s">
        <v>234</v>
      </c>
    </row>
    <row r="5" customFormat="false" ht="43.5" hidden="false" customHeight="true" outlineLevel="0" collapsed="false">
      <c r="A5" s="4" t="s">
        <v>235</v>
      </c>
      <c r="B5" s="5" t="s">
        <v>236</v>
      </c>
    </row>
    <row r="6" customFormat="false" ht="43.5" hidden="false" customHeight="true" outlineLevel="0" collapsed="false">
      <c r="A6" s="4" t="s">
        <v>237</v>
      </c>
      <c r="B6" s="5" t="s">
        <v>238</v>
      </c>
    </row>
    <row r="7" customFormat="false" ht="43.5" hidden="false" customHeight="true" outlineLevel="0" collapsed="false">
      <c r="A7" s="4" t="s">
        <v>239</v>
      </c>
      <c r="B7" s="5" t="s">
        <v>240</v>
      </c>
    </row>
    <row r="8" customFormat="false" ht="43.5" hidden="false" customHeight="true" outlineLevel="0" collapsed="false">
      <c r="A8" s="4" t="s">
        <v>241</v>
      </c>
      <c r="B8" s="5" t="s">
        <v>242</v>
      </c>
    </row>
    <row r="9" customFormat="false" ht="43.5" hidden="false" customHeight="true" outlineLevel="0" collapsed="false">
      <c r="A9" s="4" t="s">
        <v>243</v>
      </c>
      <c r="B9" s="5" t="s">
        <v>244</v>
      </c>
    </row>
    <row r="10" customFormat="false" ht="43.5" hidden="false" customHeight="true" outlineLevel="0" collapsed="false">
      <c r="A10" s="4" t="s">
        <v>245</v>
      </c>
      <c r="B10" s="5" t="s">
        <v>246</v>
      </c>
    </row>
    <row r="11" customFormat="false" ht="43.5" hidden="false" customHeight="true" outlineLevel="0" collapsed="false">
      <c r="A11" s="4" t="s">
        <v>247</v>
      </c>
      <c r="B11" s="5" t="s">
        <v>248</v>
      </c>
    </row>
    <row r="12" customFormat="false" ht="43.5" hidden="false" customHeight="true" outlineLevel="0" collapsed="false">
      <c r="A12" s="4" t="s">
        <v>249</v>
      </c>
      <c r="B12" s="5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2026-08-09T17:06:23Z</dcterms:created>
  <dc:creator>openpyxl</dc:creator>
  <dc:description/>
  <dc:language>en-US</dc:language>
  <cp:lastModifiedBy/>
  <dcterms:modified xsi:type="dcterms:W3CDTF">2026-08-09T17:07:11Z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