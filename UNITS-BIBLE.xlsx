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P" sheetId="1" state="visible" r:id="rId3"/>
    <sheet name="SCOREBOARD" sheetId="2" state="visible" r:id="rId4"/>
    <sheet name="FIXTURES" sheetId="3" state="visible" r:id="rId5"/>
  </sheets>
  <definedNames>
    <definedName function="false" hidden="true" localSheetId="0" name="_xlnm._FilterDatabase" vbProcedure="false">MAP!$A$5:$F$56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<sst xmlns="http://schemas.openxmlformats.org/spreadsheetml/2006/main" count="298" uniqueCount="222">
  <si>
    <t xml:space="preserve">UNITS BIBLE - PART 2, THE MAP</t>
  </si>
  <si>
    <t xml:space="preserve">Readable twin of UNITS-BIBLE.txt. THE .txt IS THE RECORD - if they disagree, the .txt wins.  Updated at the S115 close, 11 August 2026.</t>
  </si>
  <si>
    <t xml:space="preserve">STATUS  OK = reads a stored count, follows the rule   |   XX = calculates instead   |   ?? = to review, not a defect</t>
  </si>
  <si>
    <t xml:space="preserve">ROW</t>
  </si>
  <si>
    <t xml:space="preserve">STATUS</t>
  </si>
  <si>
    <t xml:space="preserve">MOVED</t>
  </si>
  <si>
    <t xml:space="preserve">SITE</t>
  </si>
  <si>
    <t xml:space="preserve">ADDRESS</t>
  </si>
  <si>
    <t xml:space="preserve">NOTE</t>
  </si>
  <si>
    <t xml:space="preserve">OK</t>
  </si>
  <si>
    <t xml:space="preserve">Stock info popup - In Store</t>
  </si>
  <si>
    <t xml:space="preserve">stock-info.ts:188</t>
  </si>
  <si>
    <t xml:space="preserve">inventory_units, x weight for Kg. THE MODEL. COPY IT.</t>
  </si>
  <si>
    <t xml:space="preserve">Stock info popup - Produced</t>
  </si>
  <si>
    <t xml:space="preserve">stock-info.html:36</t>
  </si>
  <si>
    <t xml:space="preserve">Stock info popup - DO/PS buckets</t>
  </si>
  <si>
    <t xml:space="preserve">stock-info.ts:79-135</t>
  </si>
  <si>
    <t xml:space="preserve">Stock info popup - progress bar</t>
  </si>
  <si>
    <t xml:space="preserve">stock-info.ts:160,166</t>
  </si>
  <si>
    <t xml:space="preserve">Edit-formulation stock buckets</t>
  </si>
  <si>
    <t xml:space="preserve">formulation-edit-stock-info.ts:143-243</t>
  </si>
  <si>
    <t xml:space="preserve">MO progress chart, 5 screens</t>
  </si>
  <si>
    <t xml:space="preserve">mo-progress-chart.ts:26,33</t>
  </si>
  <si>
    <t xml:space="preserve">Formulation intermediate lines</t>
  </si>
  <si>
    <t xml:space="preserve">edit-formulation.html:187,209,254</t>
  </si>
  <si>
    <t xml:space="preserve">Add formulation intermediate</t>
  </si>
  <si>
    <t xml:space="preserve">add-new-formulation.html:106</t>
  </si>
  <si>
    <t xml:space="preserve">Formulation save / version fork</t>
  </si>
  <si>
    <t xml:space="preserve">edit-formulation.ts:948-1397</t>
  </si>
  <si>
    <t xml:space="preserve">Intermediate qty popup</t>
  </si>
  <si>
    <t xml:space="preserve">edit-quantity-info.ts:31</t>
  </si>
  <si>
    <t xml:space="preserve">Add intermediate popup</t>
  </si>
  <si>
    <t xml:space="preserve">other-formulations.ts:47-110</t>
  </si>
  <si>
    <t xml:space="preserve">Receive product - WRITE</t>
  </si>
  <si>
    <t xml:space="preserve">receive-product.ts:148</t>
  </si>
  <si>
    <t xml:space="preserve">Dispatch orders list - shipped</t>
  </si>
  <si>
    <t xml:space="preserve">dispatch-orders.html:116,117</t>
  </si>
  <si>
    <t xml:space="preserve">Create packing slip rows</t>
  </si>
  <si>
    <t xml:space="preserve">create-packslips.ts:212-270</t>
  </si>
  <si>
    <t xml:space="preserve">Edit packing slip rows</t>
  </si>
  <si>
    <t xml:space="preserve">edit-packslips.ts:279-576</t>
  </si>
  <si>
    <t xml:space="preserve">Traceability one-step-forward</t>
  </si>
  <si>
    <t xml:space="preserve">product-traceability-details:335</t>
  </si>
  <si>
    <t xml:space="preserve">Sales order shipped to date</t>
  </si>
  <si>
    <t xml:space="preserve">edit-sales-order.ts:426,427</t>
  </si>
  <si>
    <t xml:space="preserve">Sales order product popup</t>
  </si>
  <si>
    <t xml:space="preserve">products-for-sales-order.ts:43</t>
  </si>
  <si>
    <t xml:space="preserve">Packaging cascade</t>
  </si>
  <si>
    <t xml:space="preserve">Formulations.js:1201</t>
  </si>
  <si>
    <t xml:space="preserve">ADDRESS CORRECTED S111. Multiplies by mlcDetails.qty, NEVER batches - which is WHY the Pouch control never moves. DO NOT TOUCH. It is the control.</t>
  </si>
  <si>
    <t xml:space="preserve">WAS</t>
  </si>
  <si>
    <t xml:space="preserve">MR product list + details</t>
  </si>
  <si>
    <t xml:space="preserve">rejected-materials.html:63</t>
  </si>
  <si>
    <t xml:space="preserve">Reads qty_rejected_units AND IS TYPE-GATED. Delete getShippingUnits:152-154 -&gt; P115.</t>
  </si>
  <si>
    <t xml:space="preserve">S109</t>
  </si>
  <si>
    <t xml:space="preserve">MO detail Completed</t>
  </si>
  <si>
    <t xml:space="preserve">edit-mlc.ts:298</t>
  </si>
  <si>
    <t xml:space="preserve">S110</t>
  </si>
  <si>
    <t xml:space="preserve">edit-mlo.ts:251</t>
  </si>
  <si>
    <t xml:space="preserve">Green and never seen on a screen. LOW risk, not proven.</t>
  </si>
  <si>
    <t xml:space="preserve">Start MO Completed</t>
  </si>
  <si>
    <t xml:space="preserve">start-mlc.ts:155</t>
  </si>
  <si>
    <t xml:space="preserve">Traceability list produced</t>
  </si>
  <si>
    <t xml:space="preserve">product-traceability.ts:113</t>
  </si>
  <si>
    <t xml:space="preserve">Products list Stock On Hand</t>
  </si>
  <si>
    <t xml:space="preserve">admin-formulation.ts:878</t>
  </si>
  <si>
    <t xml:space="preserve">Edit-formulation In Store</t>
  </si>
  <si>
    <t xml:space="preserve">formulation-edit-stock-info.ts:269</t>
  </si>
  <si>
    <t xml:space="preserve">Traceability view misc release</t>
  </si>
  <si>
    <t xml:space="preserve">Trace_ProductHeaderView</t>
  </si>
  <si>
    <t xml:space="preserve">TRADED derived-but-correct FOR stored-but-incomplete on pre-JR15 rows. NO CLIENT ROW MOVED. -&gt; P170.</t>
  </si>
  <si>
    <t xml:space="preserve">Dispatch order - WRITES units</t>
  </si>
  <si>
    <t xml:space="preserve">add-dispatch-v2.ts:183,194</t>
  </si>
  <si>
    <t xml:space="preserve">IT WAS A ROUND-TRIP, WORSE THAN A DIVISION. THE PATTERN S116 MUST COPY: qtyWdu typed, Kg derived.</t>
  </si>
  <si>
    <t xml:space="preserve">MO detail receiving panel</t>
  </si>
  <si>
    <t xml:space="preserve">edit-mlc.html:258 + JR21</t>
  </si>
  <si>
    <t xml:space="preserve">PROVEN dev 474 MO-0005: two receipts, 5.000# and 8.000#.</t>
  </si>
  <si>
    <t xml:space="preserve">S111</t>
  </si>
  <si>
    <t xml:space="preserve">MO detail intermediate qty</t>
  </si>
  <si>
    <t xml:space="preserve">3 templates + WhC_GetMoIntermediateProducts_SP</t>
  </si>
  <si>
    <t xml:space="preserve">Reads subrecipeformulation_ship_qty x getFactor(). PROVEN MO-0004 15.923 where it read 5.892 Kg.</t>
  </si>
  <si>
    <t xml:space="preserve">MO detail intermediate stock</t>
  </si>
  <si>
    <t xml:space="preserve">3 templates + both procedures</t>
  </si>
  <si>
    <t xml:space="preserve">Reads formulations_inventory_units. PROVEN MO-0004 47.000 where it read 17.390 Kg.</t>
  </si>
  <si>
    <t xml:space="preserve">MO detail Batch Materials</t>
  </si>
  <si>
    <t xml:space="preserve">Formulations.js:1156</t>
  </si>
  <si>
    <t xml:space="preserve">Scales Number(formulation.ship_qty). P164's inverted sign sits three lines below.</t>
  </si>
  <si>
    <t xml:space="preserve">Ingredient requirement</t>
  </si>
  <si>
    <t xml:space="preserve">Formulations.js:1123</t>
  </si>
  <si>
    <t xml:space="preserve">INGREDIENTS ARE Kg-ANCHORED BY RULE. DO NOT TOUCH.</t>
  </si>
  <si>
    <t xml:space="preserve">Intermediate requirement</t>
  </si>
  <si>
    <t xml:space="preserve">34 AND 36 ARE THE SAME LINE wearing two row numbers.</t>
  </si>
  <si>
    <t xml:space="preserve">S113</t>
  </si>
  <si>
    <t xml:space="preserve">Material traceability - MO rows</t>
  </si>
  <si>
    <t xml:space="preserve">material-traceability-details .ts:169-171 .html:107,108</t>
  </si>
  <si>
    <t xml:space="preserve">THE ONLY WRONG NUMBER THIS CAMPAIGN EVER FOUND. Its four recorded addresses were ALL DEAD and the line it said to leave alone WAS the defect. FIRST CLIENT-VISIBLE CORRECTION.</t>
  </si>
  <si>
    <t xml:space="preserve">Batch Materials WH stock, intermediates</t>
  </si>
  <si>
    <t xml:space="preserve">edit-mlc/edit-mlo/start-mlc html:205/233</t>
  </si>
  <si>
    <t xml:space="preserve">THE formulaList LOOP ONLY. This site was in NO ROW of this map. The target string appears THREE TIMES per file - a naive replace would have repointed MATERIALS.</t>
  </si>
  <si>
    <t xml:space="preserve">S114</t>
  </si>
  <si>
    <t xml:space="preserve">Release screen - the PRODUCT block</t>
  </si>
  <si>
    <t xml:space="preserve">release-mat-details .html:115,125,157,158 .ts:296,437,454</t>
  </si>
  <si>
    <t xml:space="preserve">Added S112 because S111 broke it. HALF-DONE and recorded as whole until S114. CHANGES AGAIN IN S116 and the row stays green through it. P188 DISSOLVED.</t>
  </si>
  <si>
    <t xml:space="preserve">Trace_MaterialDetails_SP</t>
  </si>
  <si>
    <t xml:space="preserve">api/models/Traceability.js:360</t>
  </si>
  <si>
    <t xml:space="preserve">Now serves mlomanagement.received_units. JR23, both boxes. A SIXTH procedure where rows 37-41 name five.</t>
  </si>
  <si>
    <t xml:space="preserve">XX</t>
  </si>
  <si>
    <t xml:space="preserve">Release screen Released Qty</t>
  </si>
  <si>
    <t xml:space="preserve">Formulations.js :1108 :1141 :1189</t>
  </si>
  <si>
    <t xml:space="preserve">Returns ADDED into the released total. LIVE, BOTH CLIENTS. -&gt; THE RETURN PATH, ruled LAST.</t>
  </si>
  <si>
    <t xml:space="preserve">MO list Completed Qty</t>
  </si>
  <si>
    <t xml:space="preserve">mfg-lot-codes.html:69</t>
  </si>
  <si>
    <t xml:space="preserve">Calls getWdu, which DIVIDES. -&gt; its own sitting.</t>
  </si>
  <si>
    <t xml:space="preserve">Traceability view intermediate</t>
  </si>
  <si>
    <t xml:space="preserve">Trace_ProductHeaderView intermediate_prd_su</t>
  </si>
  <si>
    <t xml:space="preserve">UNBLOCKED BY S115's COLUMN, still needs the WRITE. PARKED - display only.</t>
  </si>
  <si>
    <t xml:space="preserve">Traceability view SOH</t>
  </si>
  <si>
    <t xml:space="preserve">Trace_ProductHeaderView SOH_su</t>
  </si>
  <si>
    <t xml:space="preserve">DEPENDS ON 37. SOH is the headline figure. PARKED - display only.</t>
  </si>
  <si>
    <t xml:space="preserve">IP trace backward</t>
  </si>
  <si>
    <t xml:space="preserve">Trace_ProductOneStepBackwardIP_SP</t>
  </si>
  <si>
    <t xml:space="preserve">TWO DEFECTS: divides qty_allocated AND joins fopackaging with NO whd_flag filter. PARKED.</t>
  </si>
  <si>
    <t xml:space="preserve">IP trace forward</t>
  </si>
  <si>
    <t xml:space="preserve">Trace_ProductOneStepForwardIP_SP</t>
  </si>
  <si>
    <t xml:space="preserve">Divides qty_allocated. PARKED.</t>
  </si>
  <si>
    <t xml:space="preserve">Release details screen</t>
  </si>
  <si>
    <t xml:space="preserve">...ReleaseDetails_SP</t>
  </si>
  <si>
    <t xml:space="preserve">Divides qty_allocated. Seen live S113: the ONLY line on the page with no unit count. PARKED.</t>
  </si>
  <si>
    <t xml:space="preserve">Return details screen</t>
  </si>
  <si>
    <t xml:space="preserve">...ReturnDetails_SP</t>
  </si>
  <si>
    <t xml:space="preserve">-&gt; THE RETURN PATH, ruled LAST.</t>
  </si>
  <si>
    <t xml:space="preserve">Product return stock balance</t>
  </si>
  <si>
    <t xml:space="preserve">ReturnMaterialProduct.js:68</t>
  </si>
  <si>
    <t xml:space="preserve">Stock Information popup, downstream-MO card</t>
  </si>
  <si>
    <t xml:space="preserve">-</t>
  </si>
  <si>
    <t xml:space="preserve">TRANSPOSED LABELS. DISPLAY ONLY. -&gt; P169.</t>
  </si>
  <si>
    <t xml:space="preserve">??</t>
  </si>
  <si>
    <t xml:space="preserve">DO details field named ship_qty</t>
  </si>
  <si>
    <t xml:space="preserve">do-details.ts:30,54</t>
  </si>
  <si>
    <t xml:space="preserve">Closes as a DECISION, not a fix.</t>
  </si>
  <si>
    <t xml:space="preserve">Seven-copy MO qty helper</t>
  </si>
  <si>
    <t xml:space="preserve">7 files, same sum</t>
  </si>
  <si>
    <t xml:space="preserve">Add dispatch v1 popup</t>
  </si>
  <si>
    <t xml:space="preserve">PopUps/add-dispatch</t>
  </si>
  <si>
    <t xml:space="preserve">DELETE. Closes as a DECISION.</t>
  </si>
  <si>
    <t xml:space="preserve">COUNTED FROM THE ROWS ABOVE:</t>
  </si>
  <si>
    <t xml:space="preserve">GREEN (OK)</t>
  </si>
  <si>
    <t xml:space="preserve">RED (XX)</t>
  </si>
  <si>
    <t xml:space="preserve">REVIEW (??)</t>
  </si>
  <si>
    <t xml:space="preserve">TOTAL</t>
  </si>
  <si>
    <t xml:space="preserve">PART 3 - THE SCOREBOARD</t>
  </si>
  <si>
    <t xml:space="preserve">48 IS THE CEILING, OF 51. Rows 44, 46 and 47 close as DECISIONS, not fixes.</t>
  </si>
  <si>
    <t xml:space="preserve">AFTER</t>
  </si>
  <si>
    <t xml:space="preserve">WHAT MOVED</t>
  </si>
  <si>
    <t xml:space="preserve">GREEN</t>
  </si>
  <si>
    <t xml:space="preserve">RED</t>
  </si>
  <si>
    <t xml:space="preserve">REVIEW</t>
  </si>
  <si>
    <t xml:space="preserve">S108</t>
  </si>
  <si>
    <t xml:space="preserve">as the survey recorded it</t>
  </si>
  <si>
    <t xml:space="preserve">corrected</t>
  </si>
  <si>
    <t xml:space="preserve">rows 21, 26, 27 were ALREADY OK</t>
  </si>
  <si>
    <t xml:space="preserve">four repoints, the dispatch write, and the view</t>
  </si>
  <si>
    <t xml:space="preserve">row 31 receiving panel, row 35 ingredient requirement</t>
  </si>
  <si>
    <t xml:space="preserve">rows 32, 33, 34, 36 - THE INTERMEDIATE BASIS</t>
  </si>
  <si>
    <t xml:space="preserve">S111 close</t>
  </si>
  <si>
    <t xml:space="preserve">row 49 accepted</t>
  </si>
  <si>
    <t xml:space="preserve">S112</t>
  </si>
  <si>
    <t xml:space="preserve">rows 50 and 51 added; row 45 rescoped. NO ROW MOVED.</t>
  </si>
  <si>
    <t xml:space="preserve">rows 45 and 51 - THE ONLY WRONG NUMBER IN THE QUEUE</t>
  </si>
  <si>
    <t xml:space="preserve">P184 measured. NO ROW MOVED, and none was meant to.</t>
  </si>
  <si>
    <t xml:space="preserve">S115</t>
  </si>
  <si>
    <t xml:space="preserve">the Kg derived + the prod column. NO ROW MOVED.</t>
  </si>
  <si>
    <t xml:space="preserve">AFTER S116 - THE CAMPAIGN STOPS</t>
  </si>
  <si>
    <t xml:space="preserve">MINTY'S RULING S115: S116 lands the CLEAN REDUCTION - release in units, stock falls by exactly the count typed, no float tail. The campaign stops there.</t>
  </si>
  <si>
    <t xml:space="preserve">The board will read 38 GREEN of 51 and THAT IS A DELIBERATE STOP, not an unfinished one. Rows 37-41 are DISPLAY defects: a wrong display is fixable any afternoon; a wrong WRITE compounds forever.</t>
  </si>
  <si>
    <t xml:space="preserve">PARKED, NOT ABANDONED</t>
  </si>
  <si>
    <t xml:space="preserve">rows 37-41  the five read sites. UNBLOCKED by the column - pick up whenever.</t>
  </si>
  <si>
    <t xml:space="preserve">P196  the two intermediate blocks disagree by 0.011 Kg. Display only.</t>
  </si>
  <si>
    <t xml:space="preserve">rows 20/42/43  the return path. Minty's ruling: LAST.</t>
  </si>
  <si>
    <t xml:space="preserve">rows 25, 48  the tail.   rows 44/46/47  decisions, not fixes.</t>
  </si>
  <si>
    <t xml:space="preserve">PART 4 - HOW TO PROVE A FIX</t>
  </si>
  <si>
    <t xml:space="preserve">A ROUND RATIO HIDES A DIVISION (TRAPS 9). A SINGLE-LEVEL PRODUCT HIDES A WRONG-ROW READ (S115). Pick the fixture that CAN FAIL.</t>
  </si>
  <si>
    <t xml:space="preserve">FIXTURE</t>
  </si>
  <si>
    <t xml:space="preserve">BUILT</t>
  </si>
  <si>
    <t xml:space="preserve">SHAPE</t>
  </si>
  <si>
    <t xml:space="preserve">USE IT FOR</t>
  </si>
  <si>
    <t xml:space="preserve">WARNING</t>
  </si>
  <si>
    <t xml:space="preserve">IP4  FO-0010</t>
  </si>
  <si>
    <t xml:space="preserve">batch_qty 17. Pouch 0.29 / Carton 7 (2.03) / Case 11 (22.33). whd_flag = THE CASE.</t>
  </si>
  <si>
    <t xml:space="preserve">MO-0014, 41 cases, PRODUCED AND RECEIVED. inventory_units 41.</t>
  </si>
  <si>
    <t xml:space="preserve">THREE PACK LEVELS ON PURPOSE. whd_flag is 77x the Level 1 weight, so a wrong-row read is unmissable.</t>
  </si>
  <si>
    <t xml:space="preserve">P4  FO-0011</t>
  </si>
  <si>
    <t xml:space="preserve">batch_qty 23. Pouch 0.41 / Carton 5 (2.05) / Case 13 (26.65). Recipe: Salt 500 Kg + IP4 5 UNITS.</t>
  </si>
  <si>
    <t xml:space="preserve">MO-0015, 9 cases, CREATED AND UNRELEASED. THE GATE FOR S116.</t>
  </si>
  <si>
    <t xml:space="preserve">DO NOT RELEASE MO-0015 until the capture is built. 9/23 = 0.391304347...</t>
  </si>
  <si>
    <t xml:space="preserve">IP-0.37  FO-0004</t>
  </si>
  <si>
    <t xml:space="preserve">0.37 Kg/unit, 19 units per batch. SINGLE PACK LEVEL.</t>
  </si>
  <si>
    <t xml:space="preserve">MO-0003 complete; MO-0005 two receipts of 5 and 8.</t>
  </si>
  <si>
    <t xml:space="preserve">SINGLE-LEVEL, so Level 1 and whd_flag ARE THE SAME ROW. Cannot prove a whd_flag read.</t>
  </si>
  <si>
    <t xml:space="preserve">Parent-0.53  FO-0005</t>
  </si>
  <si>
    <t xml:space="preserve">0.53 Kg/unit, 13 units per batch. Pouch/Carton 3/Case 7/Pallet 9.</t>
  </si>
  <si>
    <t xml:space="preserve">MO-0004, 23 pallets, CREATED, NOT RELEASED.</t>
  </si>
  <si>
    <t xml:space="preserve">MO-0004 IS THE S110 BEFORE PICTURE. LEAVE IT ALONE. MO-0006 was SPENT in S114.</t>
  </si>
  <si>
    <t xml:space="preserve">IP2 / P2 / IP3</t>
  </si>
  <si>
    <t xml:space="preserve">Every ratio ROUND - 10 Kg/unit, 1 Kg/unit.</t>
  </si>
  <si>
    <t xml:space="preserve">Seeing the flow. MO-0010 at 10:1 showed the material-traceability defect.</t>
  </si>
  <si>
    <t xml:space="preserve">USELESS FOR PROVING A FIX. Both routes agree at a round ratio.</t>
  </si>
  <si>
    <t xml:space="preserve">Glutenull (prod)</t>
  </si>
  <si>
    <t xml:space="preserve">client</t>
  </si>
  <si>
    <t xml:space="preserve">0.32 and 0.24 Kg per unit - BOTH ROUND.</t>
  </si>
  <si>
    <t xml:space="preserve">Proving a FORMAT change is client-visible.</t>
  </si>
  <si>
    <t xml:space="preserve">1750 x 0.32 = 560 EXACTLY, so the old division landed exactly too. CANNOT prove arithmetic.</t>
  </si>
  <si>
    <t xml:space="preserve">Hagensborg (prod)</t>
  </si>
  <si>
    <t xml:space="preserve">batch_qty 1 on ALL THIRTEEN MOs.</t>
  </si>
  <si>
    <t xml:space="preserve">Nothing.</t>
  </si>
  <si>
    <t xml:space="preserve">A 1:1 ratio. CAN NEVER DEMONSTRATE A QUANTITY FIX. TRAPS 9, on a live client, permanently.</t>
  </si>
  <si>
    <t xml:space="preserve">THE CONTROLS - THE LINES THAT BRACKET THE INTERMEDIATE</t>
  </si>
  <si>
    <t xml:space="preserve">Salt on MO-0015: 195.652 Kg, Kg ONLY, no '#' anywhere. Materials are Kg by rule.</t>
  </si>
  <si>
    <t xml:space="preserve">Ginger Powder and Pouch on the 474 IP set - matList above, packList below.</t>
  </si>
  <si>
    <t xml:space="preserve">Pouch 4347.000 Ea on MO-0004. IT MUST NOT MOVE AT ANY STEP.</t>
  </si>
  <si>
    <t xml:space="preserve">ON A REPOINT, A CHANGED VALUE IS A FAILURE.</t>
  </si>
  <si>
    <t xml:space="preserve">ON A RECALCULATION, A CHANGED VALUE IS EXPECTED - AND MUST BE PREDICTED BY QUERY FIRST.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</si>
</sst>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B9C"/>
      </patternFill>
    </fill>
    <fill>
      <patternFill patternType="solid">
        <fgColor rgb="FFFFEB9C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9"/>
    <col collapsed="false" customWidth="true" hidden="false" outlineLevel="0" max="4" min="4" style="0" width="42"/>
    <col collapsed="false" customWidth="true" hidden="false" outlineLevel="0" max="5" min="5" style="0" width="46"/>
    <col collapsed="false" customWidth="true" hidden="false" outlineLevel="0" max="6" min="6" style="0" width="8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26.8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customFormat="false" ht="15" hidden="false" customHeight="false" outlineLevel="0" collapsed="false">
      <c r="A6" s="5" t="n">
        <v>1</v>
      </c>
      <c r="B6" s="6" t="s">
        <v>9</v>
      </c>
      <c r="C6" s="5"/>
      <c r="D6" s="5" t="s">
        <v>10</v>
      </c>
      <c r="E6" s="5" t="s">
        <v>11</v>
      </c>
      <c r="F6" s="5" t="s">
        <v>12</v>
      </c>
    </row>
    <row r="7" customFormat="false" ht="15" hidden="false" customHeight="false" outlineLevel="0" collapsed="false">
      <c r="A7" s="5" t="n">
        <v>2</v>
      </c>
      <c r="B7" s="6" t="s">
        <v>9</v>
      </c>
      <c r="C7" s="5"/>
      <c r="D7" s="5" t="s">
        <v>13</v>
      </c>
      <c r="E7" s="5" t="s">
        <v>14</v>
      </c>
      <c r="F7" s="5"/>
    </row>
    <row r="8" customFormat="false" ht="15" hidden="false" customHeight="false" outlineLevel="0" collapsed="false">
      <c r="A8" s="5" t="n">
        <v>3</v>
      </c>
      <c r="B8" s="6" t="s">
        <v>9</v>
      </c>
      <c r="C8" s="5"/>
      <c r="D8" s="5" t="s">
        <v>15</v>
      </c>
      <c r="E8" s="5" t="s">
        <v>16</v>
      </c>
      <c r="F8" s="5"/>
    </row>
    <row r="9" customFormat="false" ht="15" hidden="false" customHeight="false" outlineLevel="0" collapsed="false">
      <c r="A9" s="5" t="n">
        <v>4</v>
      </c>
      <c r="B9" s="6" t="s">
        <v>9</v>
      </c>
      <c r="C9" s="5"/>
      <c r="D9" s="5" t="s">
        <v>17</v>
      </c>
      <c r="E9" s="5" t="s">
        <v>18</v>
      </c>
      <c r="F9" s="5"/>
    </row>
    <row r="10" customFormat="false" ht="15" hidden="false" customHeight="false" outlineLevel="0" collapsed="false">
      <c r="A10" s="5" t="n">
        <v>5</v>
      </c>
      <c r="B10" s="6" t="s">
        <v>9</v>
      </c>
      <c r="C10" s="5"/>
      <c r="D10" s="5" t="s">
        <v>19</v>
      </c>
      <c r="E10" s="5" t="s">
        <v>20</v>
      </c>
      <c r="F10" s="5"/>
    </row>
    <row r="11" customFormat="false" ht="15" hidden="false" customHeight="false" outlineLevel="0" collapsed="false">
      <c r="A11" s="5" t="n">
        <v>6</v>
      </c>
      <c r="B11" s="6" t="s">
        <v>9</v>
      </c>
      <c r="C11" s="5"/>
      <c r="D11" s="5" t="s">
        <v>21</v>
      </c>
      <c r="E11" s="5" t="s">
        <v>22</v>
      </c>
      <c r="F11" s="5"/>
    </row>
    <row r="12" customFormat="false" ht="15" hidden="false" customHeight="false" outlineLevel="0" collapsed="false">
      <c r="A12" s="5" t="n">
        <v>7</v>
      </c>
      <c r="B12" s="6" t="s">
        <v>9</v>
      </c>
      <c r="C12" s="5"/>
      <c r="D12" s="5" t="s">
        <v>23</v>
      </c>
      <c r="E12" s="5" t="s">
        <v>24</v>
      </c>
      <c r="F12" s="5"/>
    </row>
    <row r="13" customFormat="false" ht="15" hidden="false" customHeight="false" outlineLevel="0" collapsed="false">
      <c r="A13" s="5" t="n">
        <v>8</v>
      </c>
      <c r="B13" s="6" t="s">
        <v>9</v>
      </c>
      <c r="C13" s="5"/>
      <c r="D13" s="5" t="s">
        <v>25</v>
      </c>
      <c r="E13" s="5" t="s">
        <v>26</v>
      </c>
      <c r="F13" s="5"/>
    </row>
    <row r="14" customFormat="false" ht="15" hidden="false" customHeight="false" outlineLevel="0" collapsed="false">
      <c r="A14" s="5" t="n">
        <v>9</v>
      </c>
      <c r="B14" s="6" t="s">
        <v>9</v>
      </c>
      <c r="C14" s="5"/>
      <c r="D14" s="5" t="s">
        <v>27</v>
      </c>
      <c r="E14" s="5" t="s">
        <v>28</v>
      </c>
      <c r="F14" s="5"/>
    </row>
    <row r="15" customFormat="false" ht="15" hidden="false" customHeight="false" outlineLevel="0" collapsed="false">
      <c r="A15" s="5" t="n">
        <v>10</v>
      </c>
      <c r="B15" s="6" t="s">
        <v>9</v>
      </c>
      <c r="C15" s="5"/>
      <c r="D15" s="5" t="s">
        <v>29</v>
      </c>
      <c r="E15" s="5" t="s">
        <v>30</v>
      </c>
      <c r="F15" s="5"/>
    </row>
    <row r="16" customFormat="false" ht="15" hidden="false" customHeight="false" outlineLevel="0" collapsed="false">
      <c r="A16" s="5" t="n">
        <v>11</v>
      </c>
      <c r="B16" s="6" t="s">
        <v>9</v>
      </c>
      <c r="C16" s="5"/>
      <c r="D16" s="5" t="s">
        <v>31</v>
      </c>
      <c r="E16" s="5" t="s">
        <v>32</v>
      </c>
      <c r="F16" s="5"/>
    </row>
    <row r="17" customFormat="false" ht="15" hidden="false" customHeight="false" outlineLevel="0" collapsed="false">
      <c r="A17" s="5" t="n">
        <v>12</v>
      </c>
      <c r="B17" s="6" t="s">
        <v>9</v>
      </c>
      <c r="C17" s="5"/>
      <c r="D17" s="5" t="s">
        <v>33</v>
      </c>
      <c r="E17" s="5" t="s">
        <v>34</v>
      </c>
      <c r="F17" s="5"/>
    </row>
    <row r="18" customFormat="false" ht="15" hidden="false" customHeight="false" outlineLevel="0" collapsed="false">
      <c r="A18" s="5" t="n">
        <v>13</v>
      </c>
      <c r="B18" s="6" t="s">
        <v>9</v>
      </c>
      <c r="C18" s="5"/>
      <c r="D18" s="5" t="s">
        <v>35</v>
      </c>
      <c r="E18" s="5" t="s">
        <v>36</v>
      </c>
      <c r="F18" s="5"/>
    </row>
    <row r="19" customFormat="false" ht="15" hidden="false" customHeight="false" outlineLevel="0" collapsed="false">
      <c r="A19" s="5" t="n">
        <v>14</v>
      </c>
      <c r="B19" s="6" t="s">
        <v>9</v>
      </c>
      <c r="C19" s="5"/>
      <c r="D19" s="5" t="s">
        <v>37</v>
      </c>
      <c r="E19" s="5" t="s">
        <v>38</v>
      </c>
      <c r="F19" s="5"/>
    </row>
    <row r="20" customFormat="false" ht="15" hidden="false" customHeight="false" outlineLevel="0" collapsed="false">
      <c r="A20" s="5" t="n">
        <v>15</v>
      </c>
      <c r="B20" s="6" t="s">
        <v>9</v>
      </c>
      <c r="C20" s="5"/>
      <c r="D20" s="5" t="s">
        <v>39</v>
      </c>
      <c r="E20" s="5" t="s">
        <v>40</v>
      </c>
      <c r="F20" s="5"/>
    </row>
    <row r="21" customFormat="false" ht="15" hidden="false" customHeight="false" outlineLevel="0" collapsed="false">
      <c r="A21" s="5" t="n">
        <v>16</v>
      </c>
      <c r="B21" s="6" t="s">
        <v>9</v>
      </c>
      <c r="C21" s="5"/>
      <c r="D21" s="5" t="s">
        <v>41</v>
      </c>
      <c r="E21" s="5" t="s">
        <v>42</v>
      </c>
      <c r="F21" s="5"/>
    </row>
    <row r="22" customFormat="false" ht="15" hidden="false" customHeight="false" outlineLevel="0" collapsed="false">
      <c r="A22" s="5" t="n">
        <v>17</v>
      </c>
      <c r="B22" s="6" t="s">
        <v>9</v>
      </c>
      <c r="C22" s="5"/>
      <c r="D22" s="5" t="s">
        <v>43</v>
      </c>
      <c r="E22" s="5" t="s">
        <v>44</v>
      </c>
      <c r="F22" s="5"/>
    </row>
    <row r="23" customFormat="false" ht="15" hidden="false" customHeight="false" outlineLevel="0" collapsed="false">
      <c r="A23" s="5" t="n">
        <v>18</v>
      </c>
      <c r="B23" s="6" t="s">
        <v>9</v>
      </c>
      <c r="C23" s="5"/>
      <c r="D23" s="5" t="s">
        <v>45</v>
      </c>
      <c r="E23" s="5" t="s">
        <v>46</v>
      </c>
      <c r="F23" s="5"/>
    </row>
    <row r="24" customFormat="false" ht="23.85" hidden="false" customHeight="false" outlineLevel="0" collapsed="false">
      <c r="A24" s="5" t="n">
        <v>19</v>
      </c>
      <c r="B24" s="6" t="s">
        <v>9</v>
      </c>
      <c r="C24" s="5"/>
      <c r="D24" s="5" t="s">
        <v>47</v>
      </c>
      <c r="E24" s="5" t="s">
        <v>48</v>
      </c>
      <c r="F24" s="5" t="s">
        <v>49</v>
      </c>
    </row>
    <row r="25" customFormat="false" ht="15" hidden="false" customHeight="false" outlineLevel="0" collapsed="false">
      <c r="A25" s="5" t="n">
        <v>21</v>
      </c>
      <c r="B25" s="6" t="s">
        <v>9</v>
      </c>
      <c r="C25" s="5" t="s">
        <v>50</v>
      </c>
      <c r="D25" s="5" t="s">
        <v>51</v>
      </c>
      <c r="E25" s="5" t="s">
        <v>52</v>
      </c>
      <c r="F25" s="5" t="s">
        <v>53</v>
      </c>
    </row>
    <row r="26" customFormat="false" ht="15" hidden="false" customHeight="false" outlineLevel="0" collapsed="false">
      <c r="A26" s="5" t="n">
        <v>22</v>
      </c>
      <c r="B26" s="6" t="s">
        <v>9</v>
      </c>
      <c r="C26" s="5" t="s">
        <v>54</v>
      </c>
      <c r="D26" s="5" t="s">
        <v>55</v>
      </c>
      <c r="E26" s="5" t="s">
        <v>56</v>
      </c>
      <c r="F26" s="5"/>
    </row>
    <row r="27" customFormat="false" ht="15" hidden="false" customHeight="false" outlineLevel="0" collapsed="false">
      <c r="A27" s="5" t="n">
        <v>23</v>
      </c>
      <c r="B27" s="6" t="s">
        <v>9</v>
      </c>
      <c r="C27" s="5" t="s">
        <v>57</v>
      </c>
      <c r="D27" s="5" t="s">
        <v>55</v>
      </c>
      <c r="E27" s="5" t="s">
        <v>58</v>
      </c>
      <c r="F27" s="5" t="s">
        <v>59</v>
      </c>
    </row>
    <row r="28" customFormat="false" ht="15" hidden="false" customHeight="false" outlineLevel="0" collapsed="false">
      <c r="A28" s="5" t="n">
        <v>24</v>
      </c>
      <c r="B28" s="6" t="s">
        <v>9</v>
      </c>
      <c r="C28" s="5" t="s">
        <v>54</v>
      </c>
      <c r="D28" s="5" t="s">
        <v>60</v>
      </c>
      <c r="E28" s="5" t="s">
        <v>61</v>
      </c>
      <c r="F28" s="5"/>
    </row>
    <row r="29" customFormat="false" ht="15" hidden="false" customHeight="false" outlineLevel="0" collapsed="false">
      <c r="A29" s="5" t="n">
        <v>26</v>
      </c>
      <c r="B29" s="6" t="s">
        <v>9</v>
      </c>
      <c r="C29" s="5" t="s">
        <v>50</v>
      </c>
      <c r="D29" s="5" t="s">
        <v>62</v>
      </c>
      <c r="E29" s="5" t="s">
        <v>63</v>
      </c>
      <c r="F29" s="5"/>
    </row>
    <row r="30" customFormat="false" ht="15" hidden="false" customHeight="false" outlineLevel="0" collapsed="false">
      <c r="A30" s="5" t="n">
        <v>27</v>
      </c>
      <c r="B30" s="6" t="s">
        <v>9</v>
      </c>
      <c r="C30" s="5" t="s">
        <v>50</v>
      </c>
      <c r="D30" s="5" t="s">
        <v>64</v>
      </c>
      <c r="E30" s="5" t="s">
        <v>65</v>
      </c>
      <c r="F30" s="5"/>
    </row>
    <row r="31" customFormat="false" ht="15" hidden="false" customHeight="false" outlineLevel="0" collapsed="false">
      <c r="A31" s="5" t="n">
        <v>28</v>
      </c>
      <c r="B31" s="6" t="s">
        <v>9</v>
      </c>
      <c r="C31" s="5" t="s">
        <v>54</v>
      </c>
      <c r="D31" s="5" t="s">
        <v>66</v>
      </c>
      <c r="E31" s="5" t="s">
        <v>67</v>
      </c>
      <c r="F31" s="5"/>
    </row>
    <row r="32" customFormat="false" ht="23.85" hidden="false" customHeight="false" outlineLevel="0" collapsed="false">
      <c r="A32" s="5" t="n">
        <v>29</v>
      </c>
      <c r="B32" s="6" t="s">
        <v>9</v>
      </c>
      <c r="C32" s="5" t="s">
        <v>54</v>
      </c>
      <c r="D32" s="5" t="s">
        <v>68</v>
      </c>
      <c r="E32" s="5" t="s">
        <v>69</v>
      </c>
      <c r="F32" s="5" t="s">
        <v>70</v>
      </c>
    </row>
    <row r="33" customFormat="false" ht="23.85" hidden="false" customHeight="false" outlineLevel="0" collapsed="false">
      <c r="A33" s="5" t="n">
        <v>30</v>
      </c>
      <c r="B33" s="6" t="s">
        <v>9</v>
      </c>
      <c r="C33" s="5" t="s">
        <v>54</v>
      </c>
      <c r="D33" s="5" t="s">
        <v>71</v>
      </c>
      <c r="E33" s="5" t="s">
        <v>72</v>
      </c>
      <c r="F33" s="5" t="s">
        <v>73</v>
      </c>
    </row>
    <row r="34" customFormat="false" ht="15" hidden="false" customHeight="false" outlineLevel="0" collapsed="false">
      <c r="A34" s="5" t="n">
        <v>31</v>
      </c>
      <c r="B34" s="6" t="s">
        <v>9</v>
      </c>
      <c r="C34" s="5" t="s">
        <v>57</v>
      </c>
      <c r="D34" s="5" t="s">
        <v>74</v>
      </c>
      <c r="E34" s="5" t="s">
        <v>75</v>
      </c>
      <c r="F34" s="5" t="s">
        <v>76</v>
      </c>
    </row>
    <row r="35" customFormat="false" ht="23.85" hidden="false" customHeight="false" outlineLevel="0" collapsed="false">
      <c r="A35" s="5" t="n">
        <v>32</v>
      </c>
      <c r="B35" s="6" t="s">
        <v>9</v>
      </c>
      <c r="C35" s="5" t="s">
        <v>77</v>
      </c>
      <c r="D35" s="5" t="s">
        <v>78</v>
      </c>
      <c r="E35" s="5" t="s">
        <v>79</v>
      </c>
      <c r="F35" s="5" t="s">
        <v>80</v>
      </c>
    </row>
    <row r="36" customFormat="false" ht="15" hidden="false" customHeight="false" outlineLevel="0" collapsed="false">
      <c r="A36" s="5" t="n">
        <v>33</v>
      </c>
      <c r="B36" s="6" t="s">
        <v>9</v>
      </c>
      <c r="C36" s="5" t="s">
        <v>77</v>
      </c>
      <c r="D36" s="5" t="s">
        <v>81</v>
      </c>
      <c r="E36" s="5" t="s">
        <v>82</v>
      </c>
      <c r="F36" s="5" t="s">
        <v>83</v>
      </c>
    </row>
    <row r="37" customFormat="false" ht="15" hidden="false" customHeight="false" outlineLevel="0" collapsed="false">
      <c r="A37" s="5" t="n">
        <v>34</v>
      </c>
      <c r="B37" s="6" t="s">
        <v>9</v>
      </c>
      <c r="C37" s="5" t="s">
        <v>77</v>
      </c>
      <c r="D37" s="5" t="s">
        <v>84</v>
      </c>
      <c r="E37" s="5" t="s">
        <v>85</v>
      </c>
      <c r="F37" s="5" t="s">
        <v>86</v>
      </c>
    </row>
    <row r="38" customFormat="false" ht="15" hidden="false" customHeight="false" outlineLevel="0" collapsed="false">
      <c r="A38" s="5" t="n">
        <v>35</v>
      </c>
      <c r="B38" s="6" t="s">
        <v>9</v>
      </c>
      <c r="C38" s="5" t="s">
        <v>57</v>
      </c>
      <c r="D38" s="5" t="s">
        <v>87</v>
      </c>
      <c r="E38" s="5" t="s">
        <v>88</v>
      </c>
      <c r="F38" s="5" t="s">
        <v>89</v>
      </c>
    </row>
    <row r="39" customFormat="false" ht="15" hidden="false" customHeight="false" outlineLevel="0" collapsed="false">
      <c r="A39" s="5" t="n">
        <v>36</v>
      </c>
      <c r="B39" s="6" t="s">
        <v>9</v>
      </c>
      <c r="C39" s="5" t="s">
        <v>77</v>
      </c>
      <c r="D39" s="5" t="s">
        <v>90</v>
      </c>
      <c r="E39" s="5" t="s">
        <v>85</v>
      </c>
      <c r="F39" s="5" t="s">
        <v>91</v>
      </c>
    </row>
    <row r="40" customFormat="false" ht="35.05" hidden="false" customHeight="false" outlineLevel="0" collapsed="false">
      <c r="A40" s="5" t="n">
        <v>45</v>
      </c>
      <c r="B40" s="6" t="s">
        <v>9</v>
      </c>
      <c r="C40" s="5" t="s">
        <v>92</v>
      </c>
      <c r="D40" s="5" t="s">
        <v>93</v>
      </c>
      <c r="E40" s="5" t="s">
        <v>94</v>
      </c>
      <c r="F40" s="5" t="s">
        <v>95</v>
      </c>
    </row>
    <row r="41" customFormat="false" ht="23.85" hidden="false" customHeight="false" outlineLevel="0" collapsed="false">
      <c r="A41" s="5" t="n">
        <v>49</v>
      </c>
      <c r="B41" s="6" t="s">
        <v>9</v>
      </c>
      <c r="C41" s="5" t="s">
        <v>77</v>
      </c>
      <c r="D41" s="5" t="s">
        <v>96</v>
      </c>
      <c r="E41" s="5" t="s">
        <v>97</v>
      </c>
      <c r="F41" s="5" t="s">
        <v>98</v>
      </c>
    </row>
    <row r="42" customFormat="false" ht="23.85" hidden="false" customHeight="false" outlineLevel="0" collapsed="false">
      <c r="A42" s="5" t="n">
        <v>50</v>
      </c>
      <c r="B42" s="6" t="s">
        <v>9</v>
      </c>
      <c r="C42" s="5" t="s">
        <v>99</v>
      </c>
      <c r="D42" s="5" t="s">
        <v>100</v>
      </c>
      <c r="E42" s="5" t="s">
        <v>101</v>
      </c>
      <c r="F42" s="5" t="s">
        <v>102</v>
      </c>
    </row>
    <row r="43" customFormat="false" ht="23.85" hidden="false" customHeight="false" outlineLevel="0" collapsed="false">
      <c r="A43" s="5" t="n">
        <v>51</v>
      </c>
      <c r="B43" s="6" t="s">
        <v>9</v>
      </c>
      <c r="C43" s="5" t="s">
        <v>92</v>
      </c>
      <c r="D43" s="5" t="s">
        <v>103</v>
      </c>
      <c r="E43" s="5" t="s">
        <v>104</v>
      </c>
      <c r="F43" s="5" t="s">
        <v>105</v>
      </c>
    </row>
    <row r="44" customFormat="false" ht="15" hidden="false" customHeight="false" outlineLevel="0" collapsed="false">
      <c r="A44" s="5" t="n">
        <v>20</v>
      </c>
      <c r="B44" s="7" t="s">
        <v>106</v>
      </c>
      <c r="C44" s="5"/>
      <c r="D44" s="5" t="s">
        <v>107</v>
      </c>
      <c r="E44" s="5" t="s">
        <v>108</v>
      </c>
      <c r="F44" s="5" t="s">
        <v>109</v>
      </c>
    </row>
    <row r="45" customFormat="false" ht="15" hidden="false" customHeight="false" outlineLevel="0" collapsed="false">
      <c r="A45" s="5" t="n">
        <v>25</v>
      </c>
      <c r="B45" s="7" t="s">
        <v>106</v>
      </c>
      <c r="C45" s="5"/>
      <c r="D45" s="5" t="s">
        <v>110</v>
      </c>
      <c r="E45" s="5" t="s">
        <v>111</v>
      </c>
      <c r="F45" s="5" t="s">
        <v>112</v>
      </c>
    </row>
    <row r="46" customFormat="false" ht="15" hidden="false" customHeight="false" outlineLevel="0" collapsed="false">
      <c r="A46" s="5" t="n">
        <v>37</v>
      </c>
      <c r="B46" s="7" t="s">
        <v>106</v>
      </c>
      <c r="C46" s="5"/>
      <c r="D46" s="5" t="s">
        <v>113</v>
      </c>
      <c r="E46" s="5" t="s">
        <v>114</v>
      </c>
      <c r="F46" s="5" t="s">
        <v>115</v>
      </c>
    </row>
    <row r="47" customFormat="false" ht="15" hidden="false" customHeight="false" outlineLevel="0" collapsed="false">
      <c r="A47" s="5" t="n">
        <v>38</v>
      </c>
      <c r="B47" s="7" t="s">
        <v>106</v>
      </c>
      <c r="C47" s="5"/>
      <c r="D47" s="5" t="s">
        <v>116</v>
      </c>
      <c r="E47" s="5" t="s">
        <v>117</v>
      </c>
      <c r="F47" s="5" t="s">
        <v>118</v>
      </c>
    </row>
    <row r="48" customFormat="false" ht="15" hidden="false" customHeight="false" outlineLevel="0" collapsed="false">
      <c r="A48" s="5" t="n">
        <v>39</v>
      </c>
      <c r="B48" s="7" t="s">
        <v>106</v>
      </c>
      <c r="C48" s="5"/>
      <c r="D48" s="5" t="s">
        <v>119</v>
      </c>
      <c r="E48" s="5" t="s">
        <v>120</v>
      </c>
      <c r="F48" s="5" t="s">
        <v>121</v>
      </c>
    </row>
    <row r="49" customFormat="false" ht="15" hidden="false" customHeight="false" outlineLevel="0" collapsed="false">
      <c r="A49" s="5" t="n">
        <v>40</v>
      </c>
      <c r="B49" s="7" t="s">
        <v>106</v>
      </c>
      <c r="C49" s="5"/>
      <c r="D49" s="5" t="s">
        <v>122</v>
      </c>
      <c r="E49" s="5" t="s">
        <v>123</v>
      </c>
      <c r="F49" s="5" t="s">
        <v>124</v>
      </c>
    </row>
    <row r="50" customFormat="false" ht="15" hidden="false" customHeight="false" outlineLevel="0" collapsed="false">
      <c r="A50" s="5" t="n">
        <v>41</v>
      </c>
      <c r="B50" s="7" t="s">
        <v>106</v>
      </c>
      <c r="C50" s="5"/>
      <c r="D50" s="5" t="s">
        <v>125</v>
      </c>
      <c r="E50" s="5" t="s">
        <v>126</v>
      </c>
      <c r="F50" s="5" t="s">
        <v>127</v>
      </c>
    </row>
    <row r="51" customFormat="false" ht="15" hidden="false" customHeight="false" outlineLevel="0" collapsed="false">
      <c r="A51" s="5" t="n">
        <v>42</v>
      </c>
      <c r="B51" s="7" t="s">
        <v>106</v>
      </c>
      <c r="C51" s="5"/>
      <c r="D51" s="5" t="s">
        <v>128</v>
      </c>
      <c r="E51" s="5" t="s">
        <v>129</v>
      </c>
      <c r="F51" s="5" t="s">
        <v>130</v>
      </c>
    </row>
    <row r="52" customFormat="false" ht="15" hidden="false" customHeight="false" outlineLevel="0" collapsed="false">
      <c r="A52" s="5" t="n">
        <v>43</v>
      </c>
      <c r="B52" s="7" t="s">
        <v>106</v>
      </c>
      <c r="C52" s="5"/>
      <c r="D52" s="5" t="s">
        <v>131</v>
      </c>
      <c r="E52" s="5" t="s">
        <v>132</v>
      </c>
      <c r="F52" s="5" t="s">
        <v>130</v>
      </c>
    </row>
    <row r="53" customFormat="false" ht="15" hidden="false" customHeight="false" outlineLevel="0" collapsed="false">
      <c r="A53" s="5" t="n">
        <v>48</v>
      </c>
      <c r="B53" s="7" t="s">
        <v>106</v>
      </c>
      <c r="C53" s="5"/>
      <c r="D53" s="5" t="s">
        <v>133</v>
      </c>
      <c r="E53" s="5" t="s">
        <v>134</v>
      </c>
      <c r="F53" s="5" t="s">
        <v>135</v>
      </c>
    </row>
    <row r="54" customFormat="false" ht="15" hidden="false" customHeight="false" outlineLevel="0" collapsed="false">
      <c r="A54" s="5" t="n">
        <v>44</v>
      </c>
      <c r="B54" s="8" t="s">
        <v>136</v>
      </c>
      <c r="C54" s="5"/>
      <c r="D54" s="5" t="s">
        <v>137</v>
      </c>
      <c r="E54" s="5" t="s">
        <v>138</v>
      </c>
      <c r="F54" s="5" t="s">
        <v>139</v>
      </c>
    </row>
    <row r="55" customFormat="false" ht="15" hidden="false" customHeight="false" outlineLevel="0" collapsed="false">
      <c r="A55" s="5" t="n">
        <v>46</v>
      </c>
      <c r="B55" s="8" t="s">
        <v>136</v>
      </c>
      <c r="C55" s="5"/>
      <c r="D55" s="5" t="s">
        <v>140</v>
      </c>
      <c r="E55" s="5" t="s">
        <v>141</v>
      </c>
      <c r="F55" s="5" t="s">
        <v>139</v>
      </c>
    </row>
    <row r="56" customFormat="false" ht="15" hidden="false" customHeight="false" outlineLevel="0" collapsed="false">
      <c r="A56" s="5" t="n">
        <v>47</v>
      </c>
      <c r="B56" s="8" t="s">
        <v>136</v>
      </c>
      <c r="C56" s="5"/>
      <c r="D56" s="5" t="s">
        <v>142</v>
      </c>
      <c r="E56" s="5" t="s">
        <v>143</v>
      </c>
      <c r="F56" s="5" t="s">
        <v>144</v>
      </c>
    </row>
    <row r="58" customFormat="false" ht="15" hidden="false" customHeight="false" outlineLevel="0" collapsed="false">
      <c r="D58" s="9" t="s">
        <v>145</v>
      </c>
    </row>
    <row r="59" customFormat="false" ht="15" hidden="false" customHeight="false" outlineLevel="0" collapsed="false">
      <c r="D59" s="3" t="s">
        <v>146</v>
      </c>
      <c r="E59" s="10" t="n">
        <f aca="false">COUNTIF($B$6:$B$56,"OK")</f>
        <v>38</v>
      </c>
    </row>
    <row r="60" customFormat="false" ht="15" hidden="false" customHeight="false" outlineLevel="0" collapsed="false">
      <c r="D60" s="3" t="s">
        <v>147</v>
      </c>
      <c r="E60" s="10" t="n">
        <f aca="false">COUNTIF($B$6:$B$56,"XX")</f>
        <v>10</v>
      </c>
    </row>
    <row r="61" customFormat="false" ht="15" hidden="false" customHeight="false" outlineLevel="0" collapsed="false">
      <c r="D61" s="3" t="s">
        <v>148</v>
      </c>
      <c r="E61" s="10" t="n">
        <f aca="false">COUNTIF($B$6:$B$56,"~?~?")</f>
        <v>3</v>
      </c>
    </row>
    <row r="62" customFormat="false" ht="15" hidden="false" customHeight="false" outlineLevel="0" collapsed="false">
      <c r="D62" s="3" t="s">
        <v>149</v>
      </c>
      <c r="E62" s="10" t="n">
        <f aca="false">COUNTA($B$6:$B$56)</f>
        <v>51</v>
      </c>
    </row>
  </sheetData>
  <autoFilter ref="A5:F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8"/>
    <col collapsed="false" customWidth="true" hidden="false" outlineLevel="0" max="5" min="3" style="0" width="9"/>
  </cols>
  <sheetData>
    <row r="1" customFormat="false" ht="17.35" hidden="false" customHeight="false" outlineLevel="0" collapsed="false">
      <c r="A1" s="1" t="s">
        <v>150</v>
      </c>
    </row>
    <row r="2" customFormat="false" ht="15" hidden="false" customHeight="false" outlineLevel="0" collapsed="false">
      <c r="A2" s="2" t="s">
        <v>151</v>
      </c>
    </row>
    <row r="4" customFormat="false" ht="15" hidden="false" customHeight="false" outlineLevel="0" collapsed="false">
      <c r="A4" s="4" t="s">
        <v>152</v>
      </c>
      <c r="B4" s="4" t="s">
        <v>153</v>
      </c>
      <c r="C4" s="4" t="s">
        <v>154</v>
      </c>
      <c r="D4" s="4" t="s">
        <v>155</v>
      </c>
      <c r="E4" s="4" t="s">
        <v>156</v>
      </c>
    </row>
    <row r="5" customFormat="false" ht="15" hidden="false" customHeight="false" outlineLevel="0" collapsed="false">
      <c r="A5" s="5" t="s">
        <v>157</v>
      </c>
      <c r="B5" s="5" t="s">
        <v>158</v>
      </c>
      <c r="C5" s="5" t="n">
        <v>19</v>
      </c>
      <c r="D5" s="5" t="n">
        <v>24</v>
      </c>
      <c r="E5" s="5" t="n">
        <v>4</v>
      </c>
    </row>
    <row r="6" customFormat="false" ht="15" hidden="false" customHeight="false" outlineLevel="0" collapsed="false">
      <c r="A6" s="5" t="s">
        <v>159</v>
      </c>
      <c r="B6" s="5" t="s">
        <v>160</v>
      </c>
      <c r="C6" s="5" t="n">
        <v>22</v>
      </c>
      <c r="D6" s="5" t="n">
        <v>21</v>
      </c>
      <c r="E6" s="5" t="n">
        <v>4</v>
      </c>
    </row>
    <row r="7" customFormat="false" ht="15" hidden="false" customHeight="false" outlineLevel="0" collapsed="false">
      <c r="A7" s="5" t="s">
        <v>54</v>
      </c>
      <c r="B7" s="5" t="s">
        <v>161</v>
      </c>
      <c r="C7" s="5" t="n">
        <v>28</v>
      </c>
      <c r="D7" s="5" t="n">
        <v>16</v>
      </c>
      <c r="E7" s="5" t="n">
        <v>4</v>
      </c>
    </row>
    <row r="8" customFormat="false" ht="15" hidden="false" customHeight="false" outlineLevel="0" collapsed="false">
      <c r="A8" s="5" t="s">
        <v>57</v>
      </c>
      <c r="B8" s="5" t="s">
        <v>162</v>
      </c>
      <c r="C8" s="5" t="n">
        <v>30</v>
      </c>
      <c r="D8" s="5" t="n">
        <v>11</v>
      </c>
      <c r="E8" s="5" t="n">
        <v>4</v>
      </c>
    </row>
    <row r="9" customFormat="false" ht="15" hidden="false" customHeight="false" outlineLevel="0" collapsed="false">
      <c r="A9" s="5" t="s">
        <v>77</v>
      </c>
      <c r="B9" s="5" t="s">
        <v>163</v>
      </c>
      <c r="C9" s="5" t="n">
        <v>34</v>
      </c>
      <c r="D9" s="5" t="n">
        <v>10</v>
      </c>
      <c r="E9" s="5" t="n">
        <v>4</v>
      </c>
    </row>
    <row r="10" customFormat="false" ht="15" hidden="false" customHeight="false" outlineLevel="0" collapsed="false">
      <c r="A10" s="5" t="s">
        <v>164</v>
      </c>
      <c r="B10" s="5" t="s">
        <v>165</v>
      </c>
      <c r="C10" s="5" t="n">
        <v>35</v>
      </c>
      <c r="D10" s="5" t="n">
        <v>10</v>
      </c>
      <c r="E10" s="5" t="n">
        <v>4</v>
      </c>
    </row>
    <row r="11" customFormat="false" ht="15" hidden="false" customHeight="false" outlineLevel="0" collapsed="false">
      <c r="A11" s="5" t="s">
        <v>166</v>
      </c>
      <c r="B11" s="5" t="s">
        <v>167</v>
      </c>
      <c r="C11" s="5" t="n">
        <v>36</v>
      </c>
      <c r="D11" s="5" t="n">
        <v>12</v>
      </c>
      <c r="E11" s="5" t="n">
        <v>3</v>
      </c>
    </row>
    <row r="12" customFormat="false" ht="15" hidden="false" customHeight="false" outlineLevel="0" collapsed="false">
      <c r="A12" s="5" t="s">
        <v>92</v>
      </c>
      <c r="B12" s="5" t="s">
        <v>168</v>
      </c>
      <c r="C12" s="5" t="n">
        <v>38</v>
      </c>
      <c r="D12" s="5" t="n">
        <v>10</v>
      </c>
      <c r="E12" s="5" t="n">
        <v>3</v>
      </c>
    </row>
    <row r="13" customFormat="false" ht="15" hidden="false" customHeight="false" outlineLevel="0" collapsed="false">
      <c r="A13" s="5" t="s">
        <v>99</v>
      </c>
      <c r="B13" s="5" t="s">
        <v>169</v>
      </c>
      <c r="C13" s="5" t="n">
        <v>38</v>
      </c>
      <c r="D13" s="5" t="n">
        <v>10</v>
      </c>
      <c r="E13" s="5" t="n">
        <v>3</v>
      </c>
    </row>
    <row r="14" customFormat="false" ht="15" hidden="false" customHeight="false" outlineLevel="0" collapsed="false">
      <c r="A14" s="5" t="s">
        <v>170</v>
      </c>
      <c r="B14" s="5" t="s">
        <v>171</v>
      </c>
      <c r="C14" s="5" t="n">
        <v>38</v>
      </c>
      <c r="D14" s="5" t="n">
        <v>10</v>
      </c>
      <c r="E14" s="5" t="n">
        <v>3</v>
      </c>
    </row>
    <row r="16" customFormat="false" ht="15" hidden="false" customHeight="false" outlineLevel="0" collapsed="false">
      <c r="A16" s="9" t="s">
        <v>172</v>
      </c>
    </row>
    <row r="17" customFormat="false" ht="23.85" hidden="false" customHeight="false" outlineLevel="0" collapsed="false">
      <c r="B17" s="11" t="s">
        <v>173</v>
      </c>
    </row>
    <row r="18" customFormat="false" ht="35.05" hidden="false" customHeight="false" outlineLevel="0" collapsed="false">
      <c r="B18" s="11" t="s">
        <v>174</v>
      </c>
    </row>
    <row r="20" customFormat="false" ht="15" hidden="false" customHeight="false" outlineLevel="0" collapsed="false">
      <c r="A20" s="9" t="s">
        <v>175</v>
      </c>
    </row>
    <row r="21" customFormat="false" ht="15" hidden="false" customHeight="false" outlineLevel="0" collapsed="false">
      <c r="B21" s="3" t="s">
        <v>176</v>
      </c>
    </row>
    <row r="22" customFormat="false" ht="15" hidden="false" customHeight="false" outlineLevel="0" collapsed="false">
      <c r="B22" s="3" t="s">
        <v>177</v>
      </c>
    </row>
    <row r="23" customFormat="false" ht="15" hidden="false" customHeight="false" outlineLevel="0" collapsed="false">
      <c r="B23" s="3" t="s">
        <v>178</v>
      </c>
    </row>
    <row r="24" customFormat="false" ht="15" hidden="false" customHeight="false" outlineLevel="0" collapsed="false">
      <c r="B24" s="3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56"/>
    <col collapsed="false" customWidth="true" hidden="false" outlineLevel="0" max="4" min="4" style="0" width="52"/>
    <col collapsed="false" customWidth="true" hidden="false" outlineLevel="0" max="5" min="5" style="0" width="66"/>
  </cols>
  <sheetData>
    <row r="1" customFormat="false" ht="17.35" hidden="false" customHeight="false" outlineLevel="0" collapsed="false">
      <c r="A1" s="1" t="s">
        <v>180</v>
      </c>
    </row>
    <row r="2" customFormat="false" ht="15" hidden="false" customHeight="false" outlineLevel="0" collapsed="false">
      <c r="A2" s="2" t="s">
        <v>181</v>
      </c>
    </row>
    <row r="4" customFormat="false" ht="15" hidden="false" customHeight="false" outlineLevel="0" collapsed="false">
      <c r="A4" s="4" t="s">
        <v>182</v>
      </c>
      <c r="B4" s="4" t="s">
        <v>183</v>
      </c>
      <c r="C4" s="4" t="s">
        <v>184</v>
      </c>
      <c r="D4" s="4" t="s">
        <v>185</v>
      </c>
      <c r="E4" s="4" t="s">
        <v>186</v>
      </c>
    </row>
    <row r="5" customFormat="false" ht="23.85" hidden="false" customHeight="false" outlineLevel="0" collapsed="false">
      <c r="A5" s="5" t="s">
        <v>187</v>
      </c>
      <c r="B5" s="5" t="s">
        <v>170</v>
      </c>
      <c r="C5" s="5" t="s">
        <v>188</v>
      </c>
      <c r="D5" s="5" t="s">
        <v>189</v>
      </c>
      <c r="E5" s="5" t="s">
        <v>190</v>
      </c>
    </row>
    <row r="6" customFormat="false" ht="23.85" hidden="false" customHeight="false" outlineLevel="0" collapsed="false">
      <c r="A6" s="5" t="s">
        <v>191</v>
      </c>
      <c r="B6" s="5" t="s">
        <v>170</v>
      </c>
      <c r="C6" s="5" t="s">
        <v>192</v>
      </c>
      <c r="D6" s="5" t="s">
        <v>193</v>
      </c>
      <c r="E6" s="5" t="s">
        <v>194</v>
      </c>
    </row>
    <row r="7" customFormat="false" ht="23.85" hidden="false" customHeight="false" outlineLevel="0" collapsed="false">
      <c r="A7" s="5" t="s">
        <v>195</v>
      </c>
      <c r="B7" s="5" t="s">
        <v>157</v>
      </c>
      <c r="C7" s="5" t="s">
        <v>196</v>
      </c>
      <c r="D7" s="5" t="s">
        <v>197</v>
      </c>
      <c r="E7" s="5" t="s">
        <v>198</v>
      </c>
    </row>
    <row r="8" customFormat="false" ht="23.85" hidden="false" customHeight="false" outlineLevel="0" collapsed="false">
      <c r="A8" s="5" t="s">
        <v>199</v>
      </c>
      <c r="B8" s="5" t="s">
        <v>157</v>
      </c>
      <c r="C8" s="5" t="s">
        <v>200</v>
      </c>
      <c r="D8" s="5" t="s">
        <v>201</v>
      </c>
      <c r="E8" s="5" t="s">
        <v>202</v>
      </c>
    </row>
    <row r="9" customFormat="false" ht="23.85" hidden="false" customHeight="false" outlineLevel="0" collapsed="false">
      <c r="A9" s="5" t="s">
        <v>203</v>
      </c>
      <c r="B9" s="5" t="s">
        <v>166</v>
      </c>
      <c r="C9" s="5" t="s">
        <v>204</v>
      </c>
      <c r="D9" s="5" t="s">
        <v>205</v>
      </c>
      <c r="E9" s="5" t="s">
        <v>206</v>
      </c>
    </row>
    <row r="10" customFormat="false" ht="23.85" hidden="false" customHeight="false" outlineLevel="0" collapsed="false">
      <c r="A10" s="5" t="s">
        <v>207</v>
      </c>
      <c r="B10" s="5" t="s">
        <v>208</v>
      </c>
      <c r="C10" s="5" t="s">
        <v>209</v>
      </c>
      <c r="D10" s="5" t="s">
        <v>210</v>
      </c>
      <c r="E10" s="5" t="s">
        <v>211</v>
      </c>
    </row>
    <row r="11" customFormat="false" ht="23.85" hidden="false" customHeight="false" outlineLevel="0" collapsed="false">
      <c r="A11" s="5" t="s">
        <v>212</v>
      </c>
      <c r="B11" s="5" t="s">
        <v>208</v>
      </c>
      <c r="C11" s="5" t="s">
        <v>213</v>
      </c>
      <c r="D11" s="5" t="s">
        <v>214</v>
      </c>
      <c r="E11" s="5" t="s">
        <v>215</v>
      </c>
    </row>
    <row r="13" customFormat="false" ht="15" hidden="false" customHeight="false" outlineLevel="0" collapsed="false">
      <c r="A13" s="9" t="s">
        <v>216</v>
      </c>
    </row>
    <row r="14" customFormat="false" ht="15" hidden="false" customHeight="false" outlineLevel="0" collapsed="false">
      <c r="A14" s="3" t="s">
        <v>217</v>
      </c>
    </row>
    <row r="15" customFormat="false" ht="15" hidden="false" customHeight="false" outlineLevel="0" collapsed="false">
      <c r="A15" s="3" t="s">
        <v>218</v>
      </c>
    </row>
    <row r="16" customFormat="false" ht="15" hidden="false" customHeight="false" outlineLevel="0" collapsed="false">
      <c r="A16" s="3" t="s">
        <v>219</v>
      </c>
    </row>
    <row r="17" customFormat="false" ht="15" hidden="false" customHeight="false" outlineLevel="0" collapsed="false">
      <c r="A17" s="3" t="s">
        <v>220</v>
      </c>
    </row>
    <row r="18" customFormat="false" ht="15" hidden="false" customHeight="false" outlineLevel="0" collapsed="false">
      <c r="A18" s="3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2026-08-11T23:15:11Z</dcterms:created>
  <dc:creator>openpyxl</dc:creator>
  <dc:description/>
  <dc:language>en-US</dc:language>
  <cp:lastModifiedBy/>
  <dcterms:modified xsi:type="dcterms:W3CDTF">2026-08-11T23:15:11Z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